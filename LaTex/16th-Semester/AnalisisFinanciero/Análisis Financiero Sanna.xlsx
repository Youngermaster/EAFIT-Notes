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ungermaster/Movies/"/>
    </mc:Choice>
  </mc:AlternateContent>
  <xr:revisionPtr revIDLastSave="0" documentId="13_ncr:1_{973F769C-EAAA-C146-9480-C38E33B6191B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Análisis Financiero" sheetId="1" r:id="rId1"/>
    <sheet name="Flujo de Caja" sheetId="2" r:id="rId2"/>
    <sheet name="Datos Bancolombia" sheetId="3" r:id="rId3"/>
    <sheet name="RBC y BAUE" sheetId="14" r:id="rId4"/>
    <sheet name="Indicadores Macro" sheetId="4" r:id="rId5"/>
    <sheet name="Demanda" sheetId="5" r:id="rId6"/>
    <sheet name="Oferta" sheetId="6" r:id="rId7"/>
    <sheet name="Equilibrio" sheetId="7" r:id="rId8"/>
    <sheet name="Brecha O-D" sheetId="8" r:id="rId9"/>
    <sheet name="Tamaño" sheetId="9" r:id="rId10"/>
    <sheet name="Costos" sheetId="10" r:id="rId11"/>
    <sheet name="Gastos" sheetId="11" r:id="rId12"/>
    <sheet name="Precio Proy" sheetId="12" r:id="rId13"/>
    <sheet name="Nómina" sheetId="13" r:id="rId14"/>
    <sheet name="Escenarios Financiam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1" l="1"/>
  <c r="N17" i="13"/>
  <c r="M17" i="13"/>
  <c r="G17" i="13"/>
  <c r="F17" i="13"/>
  <c r="O16" i="13"/>
  <c r="L16" i="13"/>
  <c r="J16" i="13"/>
  <c r="I16" i="13"/>
  <c r="K16" i="13" s="1"/>
  <c r="H16" i="13"/>
  <c r="E16" i="13"/>
  <c r="L15" i="13"/>
  <c r="I15" i="13"/>
  <c r="H15" i="13"/>
  <c r="E15" i="13"/>
  <c r="H14" i="13"/>
  <c r="E14" i="13"/>
  <c r="I14" i="13" s="1"/>
  <c r="I13" i="13"/>
  <c r="H13" i="13"/>
  <c r="E13" i="13"/>
  <c r="H12" i="13"/>
  <c r="I12" i="13" s="1"/>
  <c r="E12" i="13"/>
  <c r="H11" i="13"/>
  <c r="E11" i="13"/>
  <c r="I11" i="13" s="1"/>
  <c r="H10" i="13"/>
  <c r="E10" i="13"/>
  <c r="I10" i="13" s="1"/>
  <c r="K9" i="13"/>
  <c r="H9" i="13"/>
  <c r="E9" i="13"/>
  <c r="I9" i="13" s="1"/>
  <c r="O8" i="13"/>
  <c r="L8" i="13"/>
  <c r="J8" i="13"/>
  <c r="I8" i="13"/>
  <c r="K8" i="13" s="1"/>
  <c r="H8" i="13"/>
  <c r="E8" i="13"/>
  <c r="E6" i="12"/>
  <c r="F27" i="11"/>
  <c r="E27" i="11"/>
  <c r="E26" i="11"/>
  <c r="F25" i="11"/>
  <c r="E25" i="11"/>
  <c r="F21" i="11"/>
  <c r="F19" i="11"/>
  <c r="D19" i="11"/>
  <c r="F18" i="11"/>
  <c r="F17" i="11"/>
  <c r="F16" i="11"/>
  <c r="F13" i="11"/>
  <c r="F12" i="11"/>
  <c r="D11" i="11"/>
  <c r="F11" i="11" s="1"/>
  <c r="F10" i="11"/>
  <c r="D10" i="11"/>
  <c r="F9" i="11"/>
  <c r="F8" i="11"/>
  <c r="F7" i="11"/>
  <c r="F6" i="11"/>
  <c r="C70" i="10"/>
  <c r="C64" i="10"/>
  <c r="F64" i="10" s="1"/>
  <c r="F58" i="10"/>
  <c r="D58" i="10"/>
  <c r="C58" i="10"/>
  <c r="F52" i="10"/>
  <c r="D52" i="10"/>
  <c r="C52" i="10"/>
  <c r="C46" i="10"/>
  <c r="F24" i="10"/>
  <c r="E24" i="10"/>
  <c r="E23" i="10"/>
  <c r="F23" i="10" s="1"/>
  <c r="E22" i="10"/>
  <c r="F18" i="10"/>
  <c r="F15" i="10"/>
  <c r="F14" i="10"/>
  <c r="F13" i="10"/>
  <c r="F12" i="10"/>
  <c r="F11" i="10"/>
  <c r="F9" i="10"/>
  <c r="F8" i="10"/>
  <c r="F7" i="10"/>
  <c r="C6" i="10"/>
  <c r="F6" i="10" s="1"/>
  <c r="B11" i="9"/>
  <c r="B12" i="9" s="1"/>
  <c r="B13" i="9" s="1"/>
  <c r="B14" i="9" s="1"/>
  <c r="C9" i="9"/>
  <c r="C7" i="9"/>
  <c r="C6" i="9"/>
  <c r="B9" i="8"/>
  <c r="B8" i="8"/>
  <c r="B7" i="8"/>
  <c r="B6" i="8"/>
  <c r="B5" i="8"/>
  <c r="B8" i="7"/>
  <c r="B9" i="7" s="1"/>
  <c r="B10" i="7" s="1"/>
  <c r="B7" i="7"/>
  <c r="B29" i="6"/>
  <c r="D17" i="6"/>
  <c r="C15" i="6"/>
  <c r="D10" i="6"/>
  <c r="C10" i="6"/>
  <c r="D9" i="6"/>
  <c r="C9" i="6"/>
  <c r="D8" i="6"/>
  <c r="C8" i="6"/>
  <c r="D6" i="6"/>
  <c r="D7" i="6" s="1"/>
  <c r="E54" i="5"/>
  <c r="D53" i="5"/>
  <c r="F53" i="5" s="1"/>
  <c r="F52" i="5"/>
  <c r="D52" i="5"/>
  <c r="D51" i="5"/>
  <c r="F51" i="5" s="1"/>
  <c r="D50" i="5"/>
  <c r="F50" i="5" s="1"/>
  <c r="D49" i="5"/>
  <c r="F49" i="5" s="1"/>
  <c r="F48" i="5"/>
  <c r="D48" i="5"/>
  <c r="B41" i="5"/>
  <c r="B31" i="5"/>
  <c r="B30" i="5"/>
  <c r="B40" i="5" s="1"/>
  <c r="B29" i="5"/>
  <c r="B39" i="5" s="1"/>
  <c r="B28" i="5"/>
  <c r="B38" i="5" s="1"/>
  <c r="B27" i="5"/>
  <c r="B37" i="5" s="1"/>
  <c r="D16" i="5"/>
  <c r="O14" i="5"/>
  <c r="E11" i="5"/>
  <c r="N10" i="5"/>
  <c r="M10" i="5"/>
  <c r="D7" i="5"/>
  <c r="D9" i="5" s="1"/>
  <c r="P11" i="4"/>
  <c r="L11" i="4"/>
  <c r="H11" i="4"/>
  <c r="D15" i="6" s="1"/>
  <c r="D11" i="4"/>
  <c r="D15" i="5" s="1"/>
  <c r="B18" i="3"/>
  <c r="B17" i="3"/>
  <c r="H12" i="3"/>
  <c r="G12" i="3"/>
  <c r="D115" i="2"/>
  <c r="C94" i="2"/>
  <c r="G89" i="2"/>
  <c r="G78" i="2"/>
  <c r="F78" i="2"/>
  <c r="E78" i="2"/>
  <c r="D78" i="2"/>
  <c r="G64" i="2"/>
  <c r="H58" i="2"/>
  <c r="H83" i="2" s="1"/>
  <c r="G58" i="2"/>
  <c r="G83" i="2" s="1"/>
  <c r="F58" i="2"/>
  <c r="F64" i="2" s="1"/>
  <c r="F89" i="2" s="1"/>
  <c r="E58" i="2"/>
  <c r="D58" i="2"/>
  <c r="D64" i="2" s="1"/>
  <c r="D89" i="2" s="1"/>
  <c r="E46" i="2"/>
  <c r="F46" i="2" s="1"/>
  <c r="B46" i="2"/>
  <c r="E45" i="2"/>
  <c r="F45" i="2" s="1"/>
  <c r="B45" i="2"/>
  <c r="D32" i="2"/>
  <c r="D8" i="2"/>
  <c r="E8" i="2" s="1"/>
  <c r="F8" i="2" s="1"/>
  <c r="G8" i="2" s="1"/>
  <c r="C52" i="1"/>
  <c r="H31" i="1"/>
  <c r="D27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D11" i="1"/>
  <c r="I10" i="1"/>
  <c r="I9" i="1"/>
  <c r="I8" i="1"/>
  <c r="I7" i="1"/>
  <c r="I6" i="1"/>
  <c r="I5" i="1"/>
  <c r="I4" i="1"/>
  <c r="L14" i="13" l="1"/>
  <c r="J14" i="13"/>
  <c r="O14" i="13" s="1"/>
  <c r="K14" i="13"/>
  <c r="K17" i="13" s="1"/>
  <c r="D83" i="2"/>
  <c r="L12" i="13"/>
  <c r="K12" i="13"/>
  <c r="J12" i="13"/>
  <c r="O12" i="13" s="1"/>
  <c r="I17" i="13"/>
  <c r="E64" i="2"/>
  <c r="E89" i="2" s="1"/>
  <c r="E83" i="2"/>
  <c r="F46" i="10"/>
  <c r="D46" i="10"/>
  <c r="D11" i="6"/>
  <c r="E13" i="6" s="1"/>
  <c r="E14" i="6" s="1"/>
  <c r="B30" i="6"/>
  <c r="C16" i="6"/>
  <c r="L11" i="13"/>
  <c r="K11" i="13"/>
  <c r="J11" i="13"/>
  <c r="L13" i="13"/>
  <c r="K13" i="13"/>
  <c r="O13" i="13" s="1"/>
  <c r="O15" i="13"/>
  <c r="J15" i="13"/>
  <c r="E16" i="15"/>
  <c r="D16" i="15"/>
  <c r="H64" i="2"/>
  <c r="H89" i="2" s="1"/>
  <c r="D13" i="5"/>
  <c r="J9" i="13"/>
  <c r="O9" i="13" s="1"/>
  <c r="L26" i="13"/>
  <c r="L25" i="13"/>
  <c r="L9" i="13"/>
  <c r="L23" i="13"/>
  <c r="J13" i="13"/>
  <c r="K15" i="13"/>
  <c r="E12" i="5"/>
  <c r="D119" i="2"/>
  <c r="D118" i="2"/>
  <c r="J11" i="5"/>
  <c r="F28" i="11"/>
  <c r="D14" i="11" s="1"/>
  <c r="F14" i="11" s="1"/>
  <c r="F20" i="11" s="1"/>
  <c r="F22" i="11" s="1"/>
  <c r="F83" i="2"/>
  <c r="D14" i="6"/>
  <c r="E21" i="6" s="1"/>
  <c r="C25" i="6" s="1"/>
  <c r="F5" i="2"/>
  <c r="D16" i="6"/>
  <c r="D9" i="9"/>
  <c r="C10" i="9" s="1"/>
  <c r="F54" i="5"/>
  <c r="D18" i="6"/>
  <c r="F22" i="10"/>
  <c r="F25" i="10" s="1"/>
  <c r="D16" i="10" s="1"/>
  <c r="F16" i="10" s="1"/>
  <c r="F17" i="10" s="1"/>
  <c r="F19" i="10" s="1"/>
  <c r="E25" i="10"/>
  <c r="E28" i="11"/>
  <c r="F26" i="11"/>
  <c r="K10" i="13"/>
  <c r="J10" i="13"/>
  <c r="O10" i="13"/>
  <c r="D14" i="5"/>
  <c r="D5" i="2"/>
  <c r="E66" i="2" s="1"/>
  <c r="H17" i="13"/>
  <c r="D12" i="5"/>
  <c r="E19" i="5" s="1"/>
  <c r="C23" i="5" s="1"/>
  <c r="L10" i="13"/>
  <c r="E17" i="13"/>
  <c r="D64" i="10"/>
  <c r="D121" i="2" l="1"/>
  <c r="D123" i="2" s="1"/>
  <c r="D5" i="12"/>
  <c r="D6" i="12" s="1"/>
  <c r="C12" i="2"/>
  <c r="D12" i="2" s="1"/>
  <c r="E12" i="2" s="1"/>
  <c r="F12" i="2" s="1"/>
  <c r="G12" i="2" s="1"/>
  <c r="C11" i="9"/>
  <c r="C7" i="2"/>
  <c r="C9" i="2" s="1"/>
  <c r="E10" i="9"/>
  <c r="O17" i="13"/>
  <c r="F66" i="2"/>
  <c r="E91" i="2"/>
  <c r="C5" i="12"/>
  <c r="C11" i="2"/>
  <c r="L11" i="5"/>
  <c r="E22" i="5" s="1"/>
  <c r="K11" i="5"/>
  <c r="L17" i="13"/>
  <c r="C17" i="6"/>
  <c r="B31" i="6"/>
  <c r="E64" i="10"/>
  <c r="D71" i="10"/>
  <c r="L22" i="13"/>
  <c r="L29" i="13"/>
  <c r="L30" i="13" s="1"/>
  <c r="L28" i="13"/>
  <c r="L27" i="13"/>
  <c r="L24" i="13"/>
  <c r="L31" i="13"/>
  <c r="D5" i="8"/>
  <c r="E29" i="6"/>
  <c r="E6" i="7" s="1"/>
  <c r="E25" i="6"/>
  <c r="E15" i="6"/>
  <c r="O11" i="13"/>
  <c r="J12" i="5"/>
  <c r="C5" i="8"/>
  <c r="E13" i="5"/>
  <c r="J17" i="13"/>
  <c r="C23" i="2"/>
  <c r="H57" i="2" l="1"/>
  <c r="G57" i="2"/>
  <c r="D57" i="2"/>
  <c r="F57" i="2"/>
  <c r="E57" i="2"/>
  <c r="H53" i="2"/>
  <c r="H78" i="2" s="1"/>
  <c r="E5" i="8"/>
  <c r="B32" i="6"/>
  <c r="C18" i="6"/>
  <c r="B33" i="6" s="1"/>
  <c r="K12" i="5"/>
  <c r="L12" i="5"/>
  <c r="C6" i="8"/>
  <c r="E14" i="5"/>
  <c r="J13" i="5"/>
  <c r="G66" i="2"/>
  <c r="F91" i="2"/>
  <c r="E24" i="6"/>
  <c r="E16" i="6"/>
  <c r="E30" i="6"/>
  <c r="E7" i="7" s="1"/>
  <c r="D6" i="8"/>
  <c r="C12" i="9"/>
  <c r="D7" i="2"/>
  <c r="D9" i="2" s="1"/>
  <c r="C15" i="2"/>
  <c r="D55" i="2" s="1"/>
  <c r="D80" i="2" s="1"/>
  <c r="C16" i="2"/>
  <c r="L32" i="13"/>
  <c r="D11" i="2"/>
  <c r="C13" i="2"/>
  <c r="C105" i="2" s="1"/>
  <c r="C106" i="2" s="1"/>
  <c r="C107" i="2" s="1"/>
  <c r="C108" i="2" s="1"/>
  <c r="C109" i="2" s="1"/>
  <c r="C6" i="12"/>
  <c r="F6" i="12" s="1"/>
  <c r="C10" i="2" s="1"/>
  <c r="F5" i="12"/>
  <c r="D56" i="2" l="1"/>
  <c r="D81" i="2" s="1"/>
  <c r="C21" i="2"/>
  <c r="C25" i="2" s="1"/>
  <c r="D10" i="2"/>
  <c r="E10" i="2" s="1"/>
  <c r="F10" i="2" s="1"/>
  <c r="G10" i="2" s="1"/>
  <c r="D104" i="2"/>
  <c r="E104" i="2" s="1"/>
  <c r="F104" i="2" s="1"/>
  <c r="G104" i="2" s="1"/>
  <c r="H104" i="2" s="1"/>
  <c r="G91" i="2"/>
  <c r="H66" i="2"/>
  <c r="H91" i="2" s="1"/>
  <c r="D15" i="2"/>
  <c r="E55" i="2" s="1"/>
  <c r="E80" i="2" s="1"/>
  <c r="D16" i="2"/>
  <c r="E56" i="2" s="1"/>
  <c r="E81" i="2" s="1"/>
  <c r="L13" i="5"/>
  <c r="E28" i="5" s="1"/>
  <c r="K13" i="5"/>
  <c r="D13" i="2"/>
  <c r="E11" i="2"/>
  <c r="C13" i="9"/>
  <c r="E7" i="2"/>
  <c r="E9" i="2" s="1"/>
  <c r="E15" i="5"/>
  <c r="J14" i="5"/>
  <c r="C7" i="8"/>
  <c r="E82" i="2"/>
  <c r="E63" i="2"/>
  <c r="E88" i="2" s="1"/>
  <c r="E6" i="8"/>
  <c r="F63" i="2"/>
  <c r="F88" i="2" s="1"/>
  <c r="F82" i="2"/>
  <c r="E27" i="5"/>
  <c r="E23" i="5"/>
  <c r="D82" i="2"/>
  <c r="D63" i="2"/>
  <c r="D88" i="2" s="1"/>
  <c r="E31" i="6"/>
  <c r="E8" i="7" s="1"/>
  <c r="D7" i="8"/>
  <c r="E17" i="6"/>
  <c r="G63" i="2"/>
  <c r="G88" i="2" s="1"/>
  <c r="G82" i="2"/>
  <c r="C14" i="2"/>
  <c r="D52" i="2" s="1"/>
  <c r="D33" i="6"/>
  <c r="C30" i="6"/>
  <c r="C33" i="6"/>
  <c r="D31" i="6"/>
  <c r="C31" i="6"/>
  <c r="C32" i="6"/>
  <c r="D32" i="6"/>
  <c r="D29" i="6"/>
  <c r="D15" i="7" s="1"/>
  <c r="C29" i="6"/>
  <c r="D30" i="6"/>
  <c r="H63" i="2"/>
  <c r="H88" i="2" s="1"/>
  <c r="H82" i="2"/>
  <c r="F30" i="6" l="1"/>
  <c r="F7" i="7" s="1"/>
  <c r="F29" i="6"/>
  <c r="F6" i="7" s="1"/>
  <c r="C15" i="7"/>
  <c r="C37" i="5"/>
  <c r="C6" i="7"/>
  <c r="C8" i="8"/>
  <c r="J15" i="5"/>
  <c r="E16" i="5"/>
  <c r="E16" i="2"/>
  <c r="F56" i="2" s="1"/>
  <c r="F81" i="2" s="1"/>
  <c r="E15" i="2"/>
  <c r="F55" i="2" s="1"/>
  <c r="F80" i="2" s="1"/>
  <c r="E14" i="2"/>
  <c r="F52" i="2" s="1"/>
  <c r="E13" i="2"/>
  <c r="F11" i="2"/>
  <c r="E18" i="6"/>
  <c r="E32" i="6"/>
  <c r="E9" i="7" s="1"/>
  <c r="D8" i="8"/>
  <c r="F31" i="6"/>
  <c r="F8" i="7" s="1"/>
  <c r="F7" i="2"/>
  <c r="F9" i="2" s="1"/>
  <c r="C14" i="9"/>
  <c r="G7" i="2" s="1"/>
  <c r="G9" i="2" s="1"/>
  <c r="E7" i="8"/>
  <c r="C7" i="7"/>
  <c r="C38" i="5"/>
  <c r="E11" i="15"/>
  <c r="C11" i="15"/>
  <c r="E10" i="15"/>
  <c r="E9" i="15"/>
  <c r="D9" i="15"/>
  <c r="C9" i="15"/>
  <c r="C31" i="2"/>
  <c r="C30" i="2"/>
  <c r="D77" i="2"/>
  <c r="D79" i="2" s="1"/>
  <c r="D54" i="2"/>
  <c r="D60" i="2" s="1"/>
  <c r="C27" i="5"/>
  <c r="D29" i="5"/>
  <c r="C29" i="5"/>
  <c r="C31" i="5"/>
  <c r="D27" i="5"/>
  <c r="D14" i="7" s="1"/>
  <c r="D16" i="7" s="1"/>
  <c r="D30" i="5"/>
  <c r="D31" i="5"/>
  <c r="D28" i="5"/>
  <c r="C30" i="5"/>
  <c r="C28" i="5"/>
  <c r="F28" i="5" s="1"/>
  <c r="L14" i="5"/>
  <c r="E29" i="5" s="1"/>
  <c r="K14" i="5"/>
  <c r="D14" i="2"/>
  <c r="E52" i="2" s="1"/>
  <c r="C39" i="5" l="1"/>
  <c r="E39" i="5" s="1"/>
  <c r="C8" i="7"/>
  <c r="C32" i="2"/>
  <c r="D10" i="15"/>
  <c r="C45" i="2"/>
  <c r="C36" i="2"/>
  <c r="D4" i="1"/>
  <c r="E38" i="5"/>
  <c r="C9" i="8"/>
  <c r="E9" i="8" s="1"/>
  <c r="J16" i="5"/>
  <c r="F16" i="5"/>
  <c r="D9" i="8"/>
  <c r="E33" i="6"/>
  <c r="E77" i="2"/>
  <c r="E79" i="2" s="1"/>
  <c r="E54" i="2"/>
  <c r="E60" i="2" s="1"/>
  <c r="D11" i="15"/>
  <c r="D5" i="1"/>
  <c r="C46" i="2"/>
  <c r="K15" i="5"/>
  <c r="L15" i="5"/>
  <c r="E30" i="5" s="1"/>
  <c r="D38" i="5"/>
  <c r="D7" i="7"/>
  <c r="G11" i="2"/>
  <c r="G13" i="2" s="1"/>
  <c r="F13" i="2"/>
  <c r="E8" i="8"/>
  <c r="F29" i="5"/>
  <c r="G14" i="2"/>
  <c r="H52" i="2" s="1"/>
  <c r="G16" i="2"/>
  <c r="H56" i="2" s="1"/>
  <c r="H81" i="2" s="1"/>
  <c r="F16" i="2"/>
  <c r="G56" i="2" s="1"/>
  <c r="G81" i="2" s="1"/>
  <c r="F15" i="2"/>
  <c r="G55" i="2" s="1"/>
  <c r="G80" i="2" s="1"/>
  <c r="F14" i="2"/>
  <c r="G52" i="2" s="1"/>
  <c r="F77" i="2"/>
  <c r="F79" i="2" s="1"/>
  <c r="F54" i="2"/>
  <c r="F60" i="2" s="1"/>
  <c r="F27" i="5"/>
  <c r="C14" i="7"/>
  <c r="D61" i="2"/>
  <c r="D62" i="2" s="1"/>
  <c r="D68" i="2" s="1"/>
  <c r="F32" i="6"/>
  <c r="F9" i="7" s="1"/>
  <c r="C16" i="7" l="1"/>
  <c r="C18" i="7" s="1"/>
  <c r="C19" i="7"/>
  <c r="E61" i="2"/>
  <c r="E62" i="2" s="1"/>
  <c r="E68" i="2" s="1"/>
  <c r="D7" i="1"/>
  <c r="C9" i="3"/>
  <c r="B15" i="3" s="1"/>
  <c r="B16" i="3" s="1"/>
  <c r="D20" i="1"/>
  <c r="D21" i="1" s="1"/>
  <c r="D22" i="1" s="1"/>
  <c r="D6" i="1"/>
  <c r="F38" i="5"/>
  <c r="G38" i="5" s="1"/>
  <c r="C43" i="2"/>
  <c r="C38" i="2"/>
  <c r="G15" i="2"/>
  <c r="H55" i="2" s="1"/>
  <c r="H80" i="2" s="1"/>
  <c r="F61" i="2"/>
  <c r="F62" i="2" s="1"/>
  <c r="F68" i="2" s="1"/>
  <c r="H77" i="2"/>
  <c r="H79" i="2" s="1"/>
  <c r="H54" i="2"/>
  <c r="C9" i="7"/>
  <c r="C40" i="5"/>
  <c r="E40" i="5" s="1"/>
  <c r="C47" i="2"/>
  <c r="D45" i="2"/>
  <c r="G45" i="2" s="1"/>
  <c r="D39" i="5"/>
  <c r="F39" i="5" s="1"/>
  <c r="D8" i="7"/>
  <c r="D37" i="5"/>
  <c r="D6" i="7"/>
  <c r="F30" i="5"/>
  <c r="C92" i="2"/>
  <c r="C93" i="2" s="1"/>
  <c r="D46" i="2"/>
  <c r="G46" i="2" s="1"/>
  <c r="E10" i="7"/>
  <c r="F33" i="6"/>
  <c r="F10" i="7" s="1"/>
  <c r="G54" i="2"/>
  <c r="G60" i="2" s="1"/>
  <c r="G77" i="2"/>
  <c r="G79" i="2" s="1"/>
  <c r="D8" i="1"/>
  <c r="L16" i="5"/>
  <c r="E31" i="5" s="1"/>
  <c r="K16" i="5"/>
  <c r="G39" i="5"/>
  <c r="G47" i="2" l="1"/>
  <c r="C69" i="2" s="1"/>
  <c r="J16" i="1"/>
  <c r="K16" i="1" s="1"/>
  <c r="J11" i="1"/>
  <c r="K11" i="1" s="1"/>
  <c r="J13" i="1"/>
  <c r="K13" i="1" s="1"/>
  <c r="J19" i="1"/>
  <c r="K19" i="1" s="1"/>
  <c r="J10" i="1"/>
  <c r="K10" i="1" s="1"/>
  <c r="J21" i="1"/>
  <c r="K21" i="1" s="1"/>
  <c r="J7" i="1"/>
  <c r="K7" i="1" s="1"/>
  <c r="J12" i="1"/>
  <c r="K12" i="1" s="1"/>
  <c r="J4" i="1"/>
  <c r="K4" i="1" s="1"/>
  <c r="J23" i="1"/>
  <c r="K23" i="1" s="1"/>
  <c r="J18" i="1"/>
  <c r="K18" i="1" s="1"/>
  <c r="J15" i="1"/>
  <c r="K15" i="1" s="1"/>
  <c r="J6" i="1"/>
  <c r="K6" i="1" s="1"/>
  <c r="J24" i="1"/>
  <c r="K24" i="1" s="1"/>
  <c r="J5" i="1"/>
  <c r="K5" i="1" s="1"/>
  <c r="J9" i="1"/>
  <c r="K9" i="1" s="1"/>
  <c r="J8" i="1"/>
  <c r="K8" i="1" s="1"/>
  <c r="J17" i="1"/>
  <c r="K17" i="1" s="1"/>
  <c r="J22" i="1"/>
  <c r="K22" i="1" s="1"/>
  <c r="J20" i="1"/>
  <c r="K20" i="1" s="1"/>
  <c r="J14" i="1"/>
  <c r="K14" i="1" s="1"/>
  <c r="H40" i="2"/>
  <c r="G40" i="2"/>
  <c r="F40" i="2"/>
  <c r="E40" i="2"/>
  <c r="D40" i="2"/>
  <c r="D47" i="2"/>
  <c r="C67" i="2"/>
  <c r="C10" i="7"/>
  <c r="C41" i="5"/>
  <c r="E41" i="5" s="1"/>
  <c r="F31" i="5"/>
  <c r="D40" i="5"/>
  <c r="F40" i="5" s="1"/>
  <c r="D9" i="7"/>
  <c r="G40" i="5"/>
  <c r="D41" i="2"/>
  <c r="D84" i="2" s="1"/>
  <c r="D85" i="2" s="1"/>
  <c r="D13" i="1"/>
  <c r="H60" i="2"/>
  <c r="G61" i="2"/>
  <c r="G62" i="2" s="1"/>
  <c r="G68" i="2" s="1"/>
  <c r="D10" i="14" l="1"/>
  <c r="C68" i="2"/>
  <c r="D86" i="2"/>
  <c r="D87" i="2" s="1"/>
  <c r="H61" i="2"/>
  <c r="H62" i="2" s="1"/>
  <c r="H68" i="2" s="1"/>
  <c r="C70" i="2" s="1"/>
  <c r="D10" i="7"/>
  <c r="D41" i="5"/>
  <c r="F41" i="5" s="1"/>
  <c r="D42" i="2"/>
  <c r="G41" i="5"/>
  <c r="D25" i="14"/>
  <c r="C39" i="1"/>
  <c r="D29" i="1"/>
  <c r="D28" i="1"/>
  <c r="D18" i="15"/>
  <c r="D9" i="14"/>
  <c r="D12" i="14" s="1"/>
  <c r="C47" i="1" s="1"/>
  <c r="D32" i="1"/>
  <c r="D31" i="1"/>
  <c r="C43" i="1"/>
  <c r="D30" i="1"/>
  <c r="D21" i="15" l="1"/>
  <c r="D24" i="14"/>
  <c r="D28" i="14" s="1"/>
  <c r="C26" i="15"/>
  <c r="C104" i="2"/>
  <c r="C40" i="1"/>
  <c r="D90" i="2"/>
  <c r="D93" i="2" s="1"/>
  <c r="D43" i="2"/>
  <c r="C71" i="2"/>
  <c r="I31" i="1"/>
  <c r="D33" i="1"/>
  <c r="D34" i="1" s="1"/>
  <c r="C45" i="1" l="1"/>
  <c r="C22" i="15"/>
  <c r="C27" i="15"/>
  <c r="E22" i="15"/>
  <c r="D22" i="15"/>
  <c r="C72" i="2"/>
  <c r="C41" i="1"/>
  <c r="E41" i="2"/>
  <c r="E84" i="2" l="1"/>
  <c r="E85" i="2" s="1"/>
  <c r="E42" i="2"/>
  <c r="D23" i="15"/>
  <c r="C42" i="1"/>
  <c r="E90" i="2" l="1"/>
  <c r="E43" i="2"/>
  <c r="E86" i="2"/>
  <c r="E87" i="2" s="1"/>
  <c r="E93" i="2" s="1"/>
  <c r="F41" i="2" l="1"/>
  <c r="F84" i="2" l="1"/>
  <c r="F85" i="2" s="1"/>
  <c r="F42" i="2"/>
  <c r="F90" i="2" l="1"/>
  <c r="F43" i="2"/>
  <c r="F86" i="2"/>
  <c r="F87" i="2" s="1"/>
  <c r="F93" i="2" s="1"/>
  <c r="G41" i="2" l="1"/>
  <c r="G84" i="2" l="1"/>
  <c r="G85" i="2" s="1"/>
  <c r="G42" i="2"/>
  <c r="G90" i="2" l="1"/>
  <c r="G43" i="2"/>
  <c r="G86" i="2"/>
  <c r="G87" i="2" s="1"/>
  <c r="G93" i="2" s="1"/>
  <c r="H41" i="2" l="1"/>
  <c r="H84" i="2" l="1"/>
  <c r="H85" i="2" s="1"/>
  <c r="H42" i="2"/>
  <c r="H90" i="2" l="1"/>
  <c r="H43" i="2"/>
  <c r="H86" i="2"/>
  <c r="H87" i="2" s="1"/>
  <c r="H93" i="2" s="1"/>
  <c r="C96" i="2" l="1"/>
  <c r="C95" i="2"/>
  <c r="C58" i="1" s="1"/>
  <c r="C56" i="1"/>
  <c r="D26" i="15" l="1"/>
  <c r="C53" i="1"/>
  <c r="D27" i="15"/>
  <c r="C97" i="2"/>
  <c r="C54" i="1"/>
  <c r="D28" i="15" l="1"/>
  <c r="D23" i="1"/>
  <c r="C18" i="15"/>
  <c r="D17" i="15"/>
  <c r="C17" i="15"/>
  <c r="C55" i="1"/>
</calcChain>
</file>

<file path=xl/sharedStrings.xml><?xml version="1.0" encoding="utf-8"?>
<sst xmlns="http://schemas.openxmlformats.org/spreadsheetml/2006/main" count="686" uniqueCount="516">
  <si>
    <t>Cálculo del WACC</t>
  </si>
  <si>
    <t>Sensibilidad del WACC</t>
  </si>
  <si>
    <t>Fuente: https://es.investing.com/rates-bonds/colombia-10-year-bond-yield</t>
  </si>
  <si>
    <t>Insumos y estructura de capital</t>
  </si>
  <si>
    <t>Escenario</t>
  </si>
  <si>
    <t>Peso Deuda (Wd)</t>
  </si>
  <si>
    <t>Peso Patrimonio (We)</t>
  </si>
  <si>
    <t>Costo de deuda (Kd)</t>
  </si>
  <si>
    <t>Costo Capital (ke)</t>
  </si>
  <si>
    <t>WACC</t>
  </si>
  <si>
    <t>Deuda</t>
  </si>
  <si>
    <t>D</t>
  </si>
  <si>
    <t>Patrimonio</t>
  </si>
  <si>
    <t>E</t>
  </si>
  <si>
    <t>Fuente: https://repository.unad.edu.co/bitstream/handle/10596/66934/mlbejaranod.pdf (página 69)</t>
  </si>
  <si>
    <t>Valor total</t>
  </si>
  <si>
    <t>V = D + E</t>
  </si>
  <si>
    <t>Peso deuda</t>
  </si>
  <si>
    <t>w_D = D/V</t>
  </si>
  <si>
    <t>Peso patrimonio</t>
  </si>
  <si>
    <t>w_E = E/V</t>
  </si>
  <si>
    <t>Tasa interés deuda nominal</t>
  </si>
  <si>
    <t>k_d,pre</t>
  </si>
  <si>
    <t>Tasa de impuesto</t>
  </si>
  <si>
    <t>T</t>
  </si>
  <si>
    <t>Costo deuda neto</t>
  </si>
  <si>
    <t>k_d,post = k_d,pre*(1-T)</t>
  </si>
  <si>
    <t>Costo capital propio</t>
  </si>
  <si>
    <t>k_e</t>
  </si>
  <si>
    <t>WACC = w_E*k_e + w_D*k_d,post</t>
  </si>
  <si>
    <t>CAPM (opcional para estimar k_e)</t>
  </si>
  <si>
    <t>Tasa libre de riesgo</t>
  </si>
  <si>
    <t>r_f</t>
  </si>
  <si>
    <t>Prima de riesgo de mercado</t>
  </si>
  <si>
    <t>ERP</t>
  </si>
  <si>
    <t>Prima de riesgo país</t>
  </si>
  <si>
    <t>CRP</t>
  </si>
  <si>
    <t>Beta sin apalancar</t>
  </si>
  <si>
    <t>β_U</t>
  </si>
  <si>
    <t>Relación D/E</t>
  </si>
  <si>
    <t>D/E</t>
  </si>
  <si>
    <t>β apalancada</t>
  </si>
  <si>
    <t>β_L = β_U*(1+(1-T)*D/E)</t>
  </si>
  <si>
    <t>k_e (CAPM)</t>
  </si>
  <si>
    <t>k_e (CAPM) = r_f + β_L*ERP + CRP</t>
  </si>
  <si>
    <t>k_e seleccionado (usar TIO=30% o CAPM)</t>
  </si>
  <si>
    <t>Chequeo VPN con WACC usando FCL del proyecto</t>
  </si>
  <si>
    <t>Año</t>
  </si>
  <si>
    <t>Flujo de caja libre (FCL)</t>
  </si>
  <si>
    <t>Valor presente</t>
  </si>
  <si>
    <t>TIR (FLUJO DE CAJA LIBRE)</t>
  </si>
  <si>
    <t>TIR (VALOR PRESENTE )</t>
  </si>
  <si>
    <t>VPN (suma de valores presentes)</t>
  </si>
  <si>
    <t>Comparación de VPNs</t>
  </si>
  <si>
    <t xml:space="preserve">TIR </t>
  </si>
  <si>
    <t xml:space="preserve">MAYOR </t>
  </si>
  <si>
    <t>VIABLE</t>
  </si>
  <si>
    <t xml:space="preserve">MENOR </t>
  </si>
  <si>
    <t xml:space="preserve">NO VIABLE </t>
  </si>
  <si>
    <t>INDICADORES FINANCIEROS COMPLEMENTARIOS</t>
  </si>
  <si>
    <t>INDICADORES DEL PROYECTO</t>
  </si>
  <si>
    <t>WACC (Costo de capital)</t>
  </si>
  <si>
    <t>%</t>
  </si>
  <si>
    <t>Tasa de descuento del proyecto</t>
  </si>
  <si>
    <t>VPN (Valor Presente Neto)</t>
  </si>
  <si>
    <t>COP</t>
  </si>
  <si>
    <t>Valor presente de flujos futuros</t>
  </si>
  <si>
    <t>TIR (Tasa Interna Retorno)</t>
  </si>
  <si>
    <t>Rentabilidad del proyecto</t>
  </si>
  <si>
    <t>Margen TIR - WACC</t>
  </si>
  <si>
    <t>Rentabilidad excedente</t>
  </si>
  <si>
    <t>TIRM (TIR Modificada)</t>
  </si>
  <si>
    <t>TIR con reinversión al WACC</t>
  </si>
  <si>
    <t>BAUE (Beneficio Anual Unif Equiv)</t>
  </si>
  <si>
    <t>Anualidad equivalente del VPN</t>
  </si>
  <si>
    <t>años</t>
  </si>
  <si>
    <t>RBC (Relación Beneficio-Costo)</t>
  </si>
  <si>
    <t>ratio</t>
  </si>
  <si>
    <t>Beneficio por peso invertido</t>
  </si>
  <si>
    <t>Decisión de Inversión</t>
  </si>
  <si>
    <t>Basado en VPN&gt;0</t>
  </si>
  <si>
    <t>INDICADORES DEL INVERSIONISTA</t>
  </si>
  <si>
    <t>TIO (Tasa Oportunidad Inversionista)</t>
  </si>
  <si>
    <t>Costo de oportunidad del socio</t>
  </si>
  <si>
    <t>VPN Inversionista</t>
  </si>
  <si>
    <t>VPN considerando apalancamiento</t>
  </si>
  <si>
    <t>TIR Inversionista</t>
  </si>
  <si>
    <t>Rentabilidad para el socio</t>
  </si>
  <si>
    <t>Margen TIR - TIO</t>
  </si>
  <si>
    <t>Rentabilidad excedente vs TIO</t>
  </si>
  <si>
    <t>TIRM Inversionista</t>
  </si>
  <si>
    <t>TIR modificada del inversionista</t>
  </si>
  <si>
    <t>Decisión para Inversionista</t>
  </si>
  <si>
    <t>Basado en VPN inversionista&gt;0</t>
  </si>
  <si>
    <t>7. ESTUDIO FINANCIERO</t>
  </si>
  <si>
    <t>7.1 INGRESOS, COSTOS Y GASTOS PROYECTADOS</t>
  </si>
  <si>
    <t>IPC PROM</t>
  </si>
  <si>
    <t>IPP PROM</t>
  </si>
  <si>
    <t>Concepto</t>
  </si>
  <si>
    <t>Año 1</t>
  </si>
  <si>
    <t>Año 2</t>
  </si>
  <si>
    <t>Año 3</t>
  </si>
  <si>
    <t>Año 4</t>
  </si>
  <si>
    <t>Año 5</t>
  </si>
  <si>
    <t>Nivel de producción año</t>
  </si>
  <si>
    <t>Capacidad efectiva año</t>
  </si>
  <si>
    <t>Nivel de producción efectiva año</t>
  </si>
  <si>
    <t>Precio de venta del proyecto</t>
  </si>
  <si>
    <t>Costos de producción unidad</t>
  </si>
  <si>
    <t>Gastos de administración y venta unidad</t>
  </si>
  <si>
    <t>Total costos y gastos unitarios</t>
  </si>
  <si>
    <t>Ingresos proyectados por año</t>
  </si>
  <si>
    <t>Costos proyectados por año</t>
  </si>
  <si>
    <t>Gastos proyectados por año</t>
  </si>
  <si>
    <t>7.2 PRESUPUESTO DE INVERSIÓN</t>
  </si>
  <si>
    <t>Valor</t>
  </si>
  <si>
    <t>Capital de trabajo</t>
  </si>
  <si>
    <t>Inventario</t>
  </si>
  <si>
    <t>Equipos de planta y oficina</t>
  </si>
  <si>
    <t>Adecuaciones y gastos legales</t>
  </si>
  <si>
    <t>total inversión</t>
  </si>
  <si>
    <t>7.3 FUENTES DE FINANCIACIÓN</t>
  </si>
  <si>
    <t>Recursos</t>
  </si>
  <si>
    <t>Participación</t>
  </si>
  <si>
    <t>Recursos de créditos</t>
  </si>
  <si>
    <t>Recursos de socios</t>
  </si>
  <si>
    <t>Total fuentes</t>
  </si>
  <si>
    <t>Tasa de interés del crédito</t>
  </si>
  <si>
    <t>EA</t>
  </si>
  <si>
    <t>Tasa de interés del inversionista (TIO)</t>
  </si>
  <si>
    <t>Tasa del impuesto de renta (escudo fiscal)</t>
  </si>
  <si>
    <t>Monto</t>
  </si>
  <si>
    <t>Plazo</t>
  </si>
  <si>
    <t>Cuota</t>
  </si>
  <si>
    <t>Año 0</t>
  </si>
  <si>
    <t>Interés</t>
  </si>
  <si>
    <t>Abono</t>
  </si>
  <si>
    <t>Saldo</t>
  </si>
  <si>
    <t>Fuente</t>
  </si>
  <si>
    <t>Costo sin escudo fiscal</t>
  </si>
  <si>
    <t>Costo con escudo fiscal</t>
  </si>
  <si>
    <t>Costo de capital</t>
  </si>
  <si>
    <t>7.4 FLUJO DE CAJA LIBRE DEL PROYECTO</t>
  </si>
  <si>
    <t>Ingresos</t>
  </si>
  <si>
    <t>(+) Valor residual de los equipos</t>
  </si>
  <si>
    <t>(=) Total ingresos</t>
  </si>
  <si>
    <t>(-) Costos</t>
  </si>
  <si>
    <t>(-) Gastos</t>
  </si>
  <si>
    <t>(-) Depreciaciones</t>
  </si>
  <si>
    <t>(-) Amortizaciones</t>
  </si>
  <si>
    <t>(-) Intereses del crédito</t>
  </si>
  <si>
    <t>(=) Utilidad antes de impuestos</t>
  </si>
  <si>
    <t>(-) Impuesto de renta</t>
  </si>
  <si>
    <t>(=) Utilidad neta</t>
  </si>
  <si>
    <t>(+) Depreciaciones</t>
  </si>
  <si>
    <t>(+) Amortizaciones</t>
  </si>
  <si>
    <t>(-) Abonos al crédito</t>
  </si>
  <si>
    <t>(-) Variación de inventarios</t>
  </si>
  <si>
    <t>(-) Inversión inicial</t>
  </si>
  <si>
    <t>(=) Flujo de caja libre del proyecto</t>
  </si>
  <si>
    <t>Costo de capital (CK)</t>
  </si>
  <si>
    <t>Valor presente neto (VPN)</t>
  </si>
  <si>
    <t>Tasa interna de retorno (TIR)</t>
  </si>
  <si>
    <t>Margen TIR-CK</t>
  </si>
  <si>
    <t>7.5 FLUJO DE CAJA LIBRE DEL INVERSIONISTA</t>
  </si>
  <si>
    <t>(-) Aporte del inversionista</t>
  </si>
  <si>
    <t>(=) Flujo de caja libre del inversionista</t>
  </si>
  <si>
    <t>Margen TIR-TIO</t>
  </si>
  <si>
    <t>8. INFORME DE APRECIACIÓN</t>
  </si>
  <si>
    <t>8.1 ANÁLISIS DE SENSIBILIDAD</t>
  </si>
  <si>
    <t>Valor presente neto del proyecto</t>
  </si>
  <si>
    <t>8.2 MEDICIÓN DEL RIESGO</t>
  </si>
  <si>
    <t>Denominación</t>
  </si>
  <si>
    <t>Del Proyecto</t>
  </si>
  <si>
    <t>Descripción</t>
  </si>
  <si>
    <t>X = valor entre A y B al cual se le quiere determinar la probabilidad de ocurrencia o medición del riesgo</t>
  </si>
  <si>
    <t>VPN</t>
  </si>
  <si>
    <t>Alfa = parámetro que direcciona la distribución hacia el escenario optimista (eventos exitosos)</t>
  </si>
  <si>
    <t>Distribución optimista</t>
  </si>
  <si>
    <t>Beta = parámetro que direcciona la distribución hacia el escenario pesimista (eventos fallidos)</t>
  </si>
  <si>
    <t>Distribución pesimista</t>
  </si>
  <si>
    <t>A = límite inferior o valor pesimista</t>
  </si>
  <si>
    <t>VPN pesimista</t>
  </si>
  <si>
    <t>B = límite superior o valor optimista</t>
  </si>
  <si>
    <t>VPN optimista</t>
  </si>
  <si>
    <t>Probabilidad de ocurrencia</t>
  </si>
  <si>
    <t>Disbribución Beta</t>
  </si>
  <si>
    <t xml:space="preserve">Probabilidad de riesgo = 1 – distribución beta </t>
  </si>
  <si>
    <t>Riesgo financiero</t>
  </si>
  <si>
    <t xml:space="preserve">Impuesto corporativo </t>
  </si>
  <si>
    <t xml:space="preserve">T </t>
  </si>
  <si>
    <t>https://taxsummaries.pwc.com/colombia/corporate/taxes-on-corporate-income</t>
  </si>
  <si>
    <t xml:space="preserve">Renta fija TES 10 anos </t>
  </si>
  <si>
    <t>TES</t>
  </si>
  <si>
    <t>https://www.investing.com/rates-bonds/colombia-10-year-bond-yield</t>
  </si>
  <si>
    <t xml:space="preserve"> ERP 2024 COL</t>
  </si>
  <si>
    <t xml:space="preserve">EXCEL </t>
  </si>
  <si>
    <t>CRP COL</t>
  </si>
  <si>
    <t xml:space="preserve">CRP </t>
  </si>
  <si>
    <t>BETA NO APALANCADA</t>
  </si>
  <si>
    <t>BETHA</t>
  </si>
  <si>
    <t>https://pages.stern.nyu.edu/~adamodar/New_Home_Page/datafile/Betas.html</t>
  </si>
  <si>
    <t>https://www.superfinanciera.gov.co/powerbi/reportes/533/483</t>
  </si>
  <si>
    <t xml:space="preserve">Relacion deuda/patrimonio </t>
  </si>
  <si>
    <t xml:space="preserve">Analisis financiero </t>
  </si>
  <si>
    <t>En Colombia la tasa nominal del impuesto sobre la renta para personas jurídicas es del 35 % para el año gravable 2025.</t>
  </si>
  <si>
    <t xml:space="preserve">impuesto corporativo </t>
  </si>
  <si>
    <t>https://actualicese.com/tarifa-general-del-impuesto-de-renta-2025-para-personas-juridicas/?srsltid=AfmBOoocjb24t_woY6WSveRQe_wP5glW6kbiXNnaLv8yNf7dhqO51T-P&amp;utm</t>
  </si>
  <si>
    <t>Kd ,pre = Tasa interes nominal cobrada por los bancos Según la Superintendencia Financiera de Colombia, la tasa de interés bancario corriente (IBC) para crédito de consumo y ordinario (octubre 2025) está en torno a 16,24 % efectivo anual.
Los bancos como Bancolombia, Davivienda o BBVA aplican tasas comerciales entre 15 % y 18 % EA para empresas con riesgo medio.</t>
  </si>
  <si>
    <t xml:space="preserve">Kd pre Efectivo annual </t>
  </si>
  <si>
    <t>https://www.superfinanciera.gov.co/publicaciones/10115702/superfinanciera-certifica-el-interes-bancario-corriente/</t>
  </si>
  <si>
    <t xml:space="preserve">bancolombia </t>
  </si>
  <si>
    <t xml:space="preserve">Kd efectivo anaual </t>
  </si>
  <si>
    <t>Beta apalancada</t>
  </si>
  <si>
    <t>Ke</t>
  </si>
  <si>
    <t>Kd</t>
  </si>
  <si>
    <t>Kd (post )</t>
  </si>
  <si>
    <t>INDICADORES MACROECONÓMICOS</t>
  </si>
  <si>
    <t>Período</t>
  </si>
  <si>
    <t>IPC Anual</t>
  </si>
  <si>
    <t>IPP Anual</t>
  </si>
  <si>
    <t>PIB Anual</t>
  </si>
  <si>
    <t>TIB Anual</t>
  </si>
  <si>
    <t>PROM</t>
  </si>
  <si>
    <t>PROYECCIÓN DE DEMANDA</t>
  </si>
  <si>
    <t>Producto</t>
  </si>
  <si>
    <t>App salud</t>
  </si>
  <si>
    <t>Dato</t>
  </si>
  <si>
    <t>Población objetivo</t>
  </si>
  <si>
    <t>Estudiantes de la universidad Eafit</t>
  </si>
  <si>
    <t>Datos otorgados por la Universidad</t>
  </si>
  <si>
    <t>Filtro 1</t>
  </si>
  <si>
    <t>% diispuestos a comprar</t>
  </si>
  <si>
    <t>Encuesta de segmentacion</t>
  </si>
  <si>
    <t>Filtro 2</t>
  </si>
  <si>
    <t>% estudiantes que respondieron "Tal vez", teniendo en cuenta que solo el 50% adoptaria la app.</t>
  </si>
  <si>
    <t>Filtro 3</t>
  </si>
  <si>
    <t>Factor de corrección por intención vs. acción real, (estándar para aplicaciones móviles) </t>
  </si>
  <si>
    <t>Pruebas UX</t>
  </si>
  <si>
    <t>Total demanda</t>
  </si>
  <si>
    <t> </t>
  </si>
  <si>
    <t>segmentación de demanda</t>
  </si>
  <si>
    <t xml:space="preserve">PROM IPC </t>
  </si>
  <si>
    <t>Cantidad</t>
  </si>
  <si>
    <t>Periodo</t>
  </si>
  <si>
    <t>Demanda total</t>
  </si>
  <si>
    <t>Usuario versión gratuita</t>
  </si>
  <si>
    <t>usuario versión premium</t>
  </si>
  <si>
    <t>Base</t>
  </si>
  <si>
    <t>FUNCIÓN DE LA DEMANDA</t>
  </si>
  <si>
    <t>P = MQ + C</t>
  </si>
  <si>
    <t>PROM IPC</t>
  </si>
  <si>
    <t>P1</t>
  </si>
  <si>
    <t>Q1</t>
  </si>
  <si>
    <t>P2</t>
  </si>
  <si>
    <t>Q2</t>
  </si>
  <si>
    <t>M</t>
  </si>
  <si>
    <t>C</t>
  </si>
  <si>
    <t>Q</t>
  </si>
  <si>
    <t>P</t>
  </si>
  <si>
    <t>Pendiente</t>
  </si>
  <si>
    <t>Intercepto</t>
  </si>
  <si>
    <t>Precio</t>
  </si>
  <si>
    <t>ELASTICIDAD PRECIO DEMANDA</t>
  </si>
  <si>
    <t>Var q</t>
  </si>
  <si>
    <t>Var p</t>
  </si>
  <si>
    <t>epd</t>
  </si>
  <si>
    <t>tipo</t>
  </si>
  <si>
    <t>elástica</t>
  </si>
  <si>
    <t>inelástia</t>
  </si>
  <si>
    <t>CALCULO DEL P1 SEGÚN ENCUESTA</t>
  </si>
  <si>
    <t>a</t>
  </si>
  <si>
    <t>b</t>
  </si>
  <si>
    <t>c</t>
  </si>
  <si>
    <t>d</t>
  </si>
  <si>
    <t>e</t>
  </si>
  <si>
    <t>Rango</t>
  </si>
  <si>
    <t>Promedio</t>
  </si>
  <si>
    <t>% encuesta</t>
  </si>
  <si>
    <t>Producto-suma</t>
  </si>
  <si>
    <t>PROYECCIÓN DE OFERTA</t>
  </si>
  <si>
    <t>Morral</t>
  </si>
  <si>
    <t xml:space="preserve">Cantidad </t>
  </si>
  <si>
    <t>plataformas que ofrecen servicios de salud en eafit</t>
  </si>
  <si>
    <t>Análisis documental, encuestas y entrevistas</t>
  </si>
  <si>
    <t>cantidad de estudiantes en eafit</t>
  </si>
  <si>
    <t>Productos vendidos</t>
  </si>
  <si>
    <t>Productor/año</t>
  </si>
  <si>
    <t>Porcentaje de personas dentro de la comunidad eafitense que usa aplicaciones para gestionar la salud.</t>
  </si>
  <si>
    <t>Total producción</t>
  </si>
  <si>
    <t>Vendida/año</t>
  </si>
  <si>
    <t>Total oferta</t>
  </si>
  <si>
    <t>Año base</t>
  </si>
  <si>
    <t>PROM IPP</t>
  </si>
  <si>
    <t>Oferta proyectada</t>
  </si>
  <si>
    <t>FUNCIÓN DE LA OFERTA</t>
  </si>
  <si>
    <t>PUNTO DE EQUILIBRIO</t>
  </si>
  <si>
    <t>DEMANDA</t>
  </si>
  <si>
    <t>OFERTA</t>
  </si>
  <si>
    <t>pendiente</t>
  </si>
  <si>
    <t>intercepto</t>
  </si>
  <si>
    <t>demanda</t>
  </si>
  <si>
    <t>oferta</t>
  </si>
  <si>
    <t>cantidad (q)</t>
  </si>
  <si>
    <t>precio (p)</t>
  </si>
  <si>
    <t>BRECHA DEMANDA Y OFERTA</t>
  </si>
  <si>
    <t>Demanda proyectada</t>
  </si>
  <si>
    <t>Brecha</t>
  </si>
  <si>
    <t>Si oferta mayor a demanda</t>
  </si>
  <si>
    <t>Sobre oferta</t>
  </si>
  <si>
    <t>Si oferta menor a demanda</t>
  </si>
  <si>
    <t>Demanda insafistecha</t>
  </si>
  <si>
    <t>Si oferta similar a demanda</t>
  </si>
  <si>
    <t>Similar a punto de equilibrio</t>
  </si>
  <si>
    <t>TAMAÑO DEL PROYECTO</t>
  </si>
  <si>
    <t>Producción diaria</t>
  </si>
  <si>
    <t>Producción mensual</t>
  </si>
  <si>
    <t>Producción anual</t>
  </si>
  <si>
    <t>Tamaño</t>
  </si>
  <si>
    <t>Tasa de proyección</t>
  </si>
  <si>
    <t>COSTOS DEL PRODUCTO O SERVICIO</t>
  </si>
  <si>
    <t>Elemento del costo</t>
  </si>
  <si>
    <t>Costo unitario</t>
  </si>
  <si>
    <t>Factor</t>
  </si>
  <si>
    <t>Costo asignado</t>
  </si>
  <si>
    <t>Costos directos</t>
  </si>
  <si>
    <t>Materiales o insumos</t>
  </si>
  <si>
    <t>Licencias de software y APIs externas</t>
  </si>
  <si>
    <t>Programadores/desarrolladores backend</t>
  </si>
  <si>
    <t>Programadores frontend</t>
  </si>
  <si>
    <t>Costos indirectos</t>
  </si>
  <si>
    <t>Diseñador UX/UI</t>
  </si>
  <si>
    <t>Profesional médico</t>
  </si>
  <si>
    <t>Oficina (80%)</t>
  </si>
  <si>
    <t>Servicios públicos (80%)</t>
  </si>
  <si>
    <t>Útiles y papelería de oficina</t>
  </si>
  <si>
    <t>Depreciación equipos planta*</t>
  </si>
  <si>
    <t>Total costos mensuales</t>
  </si>
  <si>
    <t>Nivel de producción mes</t>
  </si>
  <si>
    <t>Costo unitario total</t>
  </si>
  <si>
    <t>Equipos y enseres de planta</t>
  </si>
  <si>
    <t>Costo total</t>
  </si>
  <si>
    <t>Depreciación mensual</t>
  </si>
  <si>
    <t>Computadores portátiles</t>
  </si>
  <si>
    <t>Celulares para pruebas de app</t>
  </si>
  <si>
    <t>Escritorios y sillas ergonómicas</t>
  </si>
  <si>
    <t>Totales</t>
  </si>
  <si>
    <t>Demanda</t>
  </si>
  <si>
    <t>Costo de la materia prima</t>
  </si>
  <si>
    <t>Costos del arriendo de la maq.</t>
  </si>
  <si>
    <t>Costo de la nomina</t>
  </si>
  <si>
    <t>COSTO Y GASTOS TOTALES</t>
  </si>
  <si>
    <t>PRECIO DE VENTA</t>
  </si>
  <si>
    <t>k=margen de utilidad%</t>
  </si>
  <si>
    <t>GASTOS DE ADMINISTRACIÓN Y VENTA</t>
  </si>
  <si>
    <t>Elemento del gasto</t>
  </si>
  <si>
    <t>Gasto unitario</t>
  </si>
  <si>
    <t>Gasto asignado</t>
  </si>
  <si>
    <t>Gastos de administración</t>
  </si>
  <si>
    <t>Salario gerente</t>
  </si>
  <si>
    <t>Salario recursos humanos</t>
  </si>
  <si>
    <t>Salario secretaria oficina</t>
  </si>
  <si>
    <t>Salario oficios generales</t>
  </si>
  <si>
    <t>Servicios públicos oficina (20%)</t>
  </si>
  <si>
    <t>Arrendamiento oficina (20%)</t>
  </si>
  <si>
    <t>Elementos de aseo oficina</t>
  </si>
  <si>
    <t>Depreciación equipos de oficina</t>
  </si>
  <si>
    <t>Gastos de venta</t>
  </si>
  <si>
    <t>Comunnity manager</t>
  </si>
  <si>
    <t>Campaña en redes sociales</t>
  </si>
  <si>
    <t>Diseño de contenido promocional</t>
  </si>
  <si>
    <t>Gastos de distribución</t>
  </si>
  <si>
    <t>Total gastos mensuales</t>
  </si>
  <si>
    <t>Gasto unitario total</t>
  </si>
  <si>
    <t>Equipos y enseres de oficina</t>
  </si>
  <si>
    <t>Mesas, escritorios y sillas</t>
  </si>
  <si>
    <t>Archivadores</t>
  </si>
  <si>
    <t>Equipos de cómputo</t>
  </si>
  <si>
    <t>PRECIO DE VENTA DEL PRODUCTO O SERVICIO</t>
  </si>
  <si>
    <t>Tipo de fórmula</t>
  </si>
  <si>
    <t>Margen</t>
  </si>
  <si>
    <t>Margen sobre el costo</t>
  </si>
  <si>
    <t>Margen sobre el precio</t>
  </si>
  <si>
    <t>Valores de referencia:</t>
  </si>
  <si>
    <t>Salario mínimo - 2025</t>
  </si>
  <si>
    <t>Auxilio de transporte - 2025</t>
  </si>
  <si>
    <t>¿Está exonerado del pago de aportes?</t>
  </si>
  <si>
    <t>Si</t>
  </si>
  <si>
    <t>Cargo</t>
  </si>
  <si>
    <t>Devengado</t>
  </si>
  <si>
    <t>Deducciones</t>
  </si>
  <si>
    <t>Neto
 pagado</t>
  </si>
  <si>
    <t>Salario 
básico</t>
  </si>
  <si>
    <t>Días 
liquidados</t>
  </si>
  <si>
    <t>Salario 
devengado</t>
  </si>
  <si>
    <t>Horas 
extras</t>
  </si>
  <si>
    <t>Recargos 
nocturnos</t>
  </si>
  <si>
    <t>Auxilio de
transporte</t>
  </si>
  <si>
    <t>Total
devengado</t>
  </si>
  <si>
    <t>Salud</t>
  </si>
  <si>
    <t>Pensión</t>
  </si>
  <si>
    <t>Fondo de solidaridad
pensional</t>
  </si>
  <si>
    <t>Retención en 
la fuente</t>
  </si>
  <si>
    <t>Otras
 deducciones</t>
  </si>
  <si>
    <t>Gerente</t>
  </si>
  <si>
    <t>Recursos humanos</t>
  </si>
  <si>
    <t>Secretaria oficina</t>
  </si>
  <si>
    <t>Oficios generales</t>
  </si>
  <si>
    <t>Provisiones de nómina a 
cargo del empleador.</t>
  </si>
  <si>
    <t>Aportes a pensión</t>
  </si>
  <si>
    <t>Aportes a salud</t>
  </si>
  <si>
    <t>Aportes a riesgos laborales</t>
  </si>
  <si>
    <t>Sena</t>
  </si>
  <si>
    <t>Icbf</t>
  </si>
  <si>
    <t>Cajas de compensación</t>
  </si>
  <si>
    <t>Prima de servicios</t>
  </si>
  <si>
    <t>Cesantía</t>
  </si>
  <si>
    <t>Intereses sobre cesantías</t>
  </si>
  <si>
    <t>Provisón de vacaciones</t>
  </si>
  <si>
    <t>Total provisiones</t>
  </si>
  <si>
    <t>RELACIÓN BENEFICIO-COSTO (RBC) Y BAUE</t>
  </si>
  <si>
    <t>1. RELACIÓN BENEFICIO-COSTO (RBC)</t>
  </si>
  <si>
    <t>Fórmula</t>
  </si>
  <si>
    <t>Interpretación</t>
  </si>
  <si>
    <t>Valor Presente Ingresos (VPI)</t>
  </si>
  <si>
    <t>NPV(WACC,Ingresos)</t>
  </si>
  <si>
    <t>VP de todos los ingresos</t>
  </si>
  <si>
    <t>Valor Presente Egresos (VPE)</t>
  </si>
  <si>
    <t>Inv + NPV(WACC,Egresos)</t>
  </si>
  <si>
    <t>VP de egresos + inversión</t>
  </si>
  <si>
    <t>RBC = VPI / VPE</t>
  </si>
  <si>
    <t>VPI/VPE</t>
  </si>
  <si>
    <t>Beneficio por cada peso invertido</t>
  </si>
  <si>
    <t>Interpretación:</t>
  </si>
  <si>
    <t>Si RBC &gt; 1</t>
  </si>
  <si>
    <t>→</t>
  </si>
  <si>
    <t>Proyecto VIABLE</t>
  </si>
  <si>
    <t>Genera más beneficios que costos</t>
  </si>
  <si>
    <t>Si RBC = 1</t>
  </si>
  <si>
    <t>Punto de equilibrio</t>
  </si>
  <si>
    <t>Beneficios = Costos</t>
  </si>
  <si>
    <t>Si RBC &lt; 1</t>
  </si>
  <si>
    <t>NO VIABLE</t>
  </si>
  <si>
    <t>Genera pérdidas</t>
  </si>
  <si>
    <t>2. BENEFICIO ANUAL UNIFORME EQUIVALENTE (BAUE)</t>
  </si>
  <si>
    <t>VPN del Proyecto</t>
  </si>
  <si>
    <t>Del flujo de caja libre</t>
  </si>
  <si>
    <t>Tasa</t>
  </si>
  <si>
    <t>Tasa de descuento</t>
  </si>
  <si>
    <t>Horizonte (n)</t>
  </si>
  <si>
    <t>Años</t>
  </si>
  <si>
    <t>Vida del proyecto</t>
  </si>
  <si>
    <t>BAUE = -PMT(WACC,n,VPN)</t>
  </si>
  <si>
    <t>-PMT</t>
  </si>
  <si>
    <t>Beneficio anual equivalente</t>
  </si>
  <si>
    <t>BAUE &gt; 0</t>
  </si>
  <si>
    <t>Genera beneficios anuales</t>
  </si>
  <si>
    <t>BAUE = 0</t>
  </si>
  <si>
    <t>Sin beneficios ni pérdidas</t>
  </si>
  <si>
    <t>BAUE &lt; 0</t>
  </si>
  <si>
    <t>Genera pérdidas anuales</t>
  </si>
  <si>
    <t>Nota: BAUE permite comparar proyectos con diferentes horizontes temporales</t>
  </si>
  <si>
    <t>COMPARACIÓN DE ESCENARIOS DE FINANCIAMIENTO</t>
  </si>
  <si>
    <t>Análisis de diferentes estructuras de capital para determinar la más conveniente</t>
  </si>
  <si>
    <t>INDICADOR / CONCEPTO</t>
  </si>
  <si>
    <t>Sin Deuda (100% Capital)</t>
  </si>
  <si>
    <t>Actual (60% Deuda)</t>
  </si>
  <si>
    <t>Alta Deuda (80% Deuda)</t>
  </si>
  <si>
    <t>1. ESTRUCTURA DE CAPITAL</t>
  </si>
  <si>
    <t>Inversión Total (COP)</t>
  </si>
  <si>
    <t>Deuda (COP)</t>
  </si>
  <si>
    <t>Patrimonio (COP)</t>
  </si>
  <si>
    <t>% Deuda</t>
  </si>
  <si>
    <t>% Patrimonio</t>
  </si>
  <si>
    <t>2. COSTOS DE FINANCIAMIENTO</t>
  </si>
  <si>
    <t>Kd (Costo deuda post-impuesto)</t>
  </si>
  <si>
    <t>Ke (Costo patrimonio)</t>
  </si>
  <si>
    <t>CALCULAR con β ajustado</t>
  </si>
  <si>
    <t>CALCULAR</t>
  </si>
  <si>
    <t>3. INDICADORES DEL PROYECTO</t>
  </si>
  <si>
    <t>VPN Proyecto (COP)</t>
  </si>
  <si>
    <t>Recalcular con WACC 30%</t>
  </si>
  <si>
    <t>Recalcular con WACC ajustado</t>
  </si>
  <si>
    <t>TIR Proyecto (%)</t>
  </si>
  <si>
    <t>Margen TIR-WACC (%)</t>
  </si>
  <si>
    <t>Calcular</t>
  </si>
  <si>
    <t>4. INDICADORES DEL INVERSIONISTA</t>
  </si>
  <si>
    <t>VPN Inversionista (COP)</t>
  </si>
  <si>
    <t>Recalcular FCL Inv</t>
  </si>
  <si>
    <t>TIR Inversionista (%)</t>
  </si>
  <si>
    <t>Margen TIR-TIO (%)</t>
  </si>
  <si>
    <t>5. ANÁLISIS DE RIESGO Y VENTAJAS</t>
  </si>
  <si>
    <t>Apalancamiento Financiero</t>
  </si>
  <si>
    <t>Nulo</t>
  </si>
  <si>
    <t>Moderado</t>
  </si>
  <si>
    <t>Alto</t>
  </si>
  <si>
    <t>Escudo Fiscal</t>
  </si>
  <si>
    <t>NO</t>
  </si>
  <si>
    <t>SÍ (Ahorro impuestos)</t>
  </si>
  <si>
    <t>SÍ (Mayor ahorro)</t>
  </si>
  <si>
    <t>Carga Financiera</t>
  </si>
  <si>
    <t>Nula</t>
  </si>
  <si>
    <t>Media</t>
  </si>
  <si>
    <t>Alta</t>
  </si>
  <si>
    <t>Riesgo de Insolvencia</t>
  </si>
  <si>
    <t>Bajo</t>
  </si>
  <si>
    <t>Medio</t>
  </si>
  <si>
    <t>Flexibilidad Financiera</t>
  </si>
  <si>
    <t>Baja</t>
  </si>
  <si>
    <t>Costo de Capital</t>
  </si>
  <si>
    <t>Medio-Bajo</t>
  </si>
  <si>
    <t>CONCLUSIÓN Y RECOMENDACIÓN</t>
  </si>
  <si>
    <t>Basado en los indicadores VPN, TIR y análisis de riesgo, determinar cuál estructura es más conveniente:</t>
  </si>
  <si>
    <t>• Sin Deuda: Menor riesgo pero menor rentabilidad (sin escudo fiscal)</t>
  </si>
  <si>
    <t>• Actual 60%: Balance óptimo entre riesgo-retorno, escudo fiscal moderado</t>
  </si>
  <si>
    <t>• Alta Deuda 80%: Mayor retorno potencial pero alto riesgo financiero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</si>
</sst>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$&quot;* #,##0_-;\-&quot;$&quot;* #,##0_-;_-&quot;$&quot;* &quot;-&quot;_-;_-@_-"/>
    <numFmt numFmtId="41" formatCode="_-* #,##0_-;\-* #,##0_-;_-* &quot;-&quot;_-;_-@_-"/>
    <numFmt numFmtId="43" formatCode="_-* #,##0.00_-;\-* #,##0.00_-;_-* &quot;-&quot;??_-;_-@_-"/>
    <numFmt numFmtId="164" formatCode="#,##0_ ;\-#,##0\ "/>
    <numFmt numFmtId="165" formatCode="0.0%"/>
    <numFmt numFmtId="166" formatCode="#,##0.000"/>
    <numFmt numFmtId="167" formatCode="#,##0.00000"/>
    <numFmt numFmtId="168" formatCode="#,##0.0000"/>
    <numFmt numFmtId="169" formatCode="0.0000"/>
    <numFmt numFmtId="170" formatCode="_-* #,##0.00_-;\-* #,##0.00_-;_-* &quot;-&quot;_-;_-@_-"/>
    <numFmt numFmtId="171" formatCode="#,##0.0"/>
    <numFmt numFmtId="172" formatCode="_-* #,##0_-;\-* #,##0_-;_-* &quot;-&quot;_-;_-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3A3838"/>
      <name val="Calibri"/>
      <family val="2"/>
      <scheme val="minor"/>
    </font>
    <font>
      <sz val="11"/>
      <color rgb="FF000000"/>
      <name val="Calibri"/>
      <family val="2"/>
    </font>
    <font>
      <sz val="12"/>
      <name val="Times New Roman"/>
      <family val="1"/>
    </font>
    <font>
      <b/>
      <sz val="11"/>
      <name val="Calibri"/>
      <family val="2"/>
    </font>
    <font>
      <b/>
      <sz val="18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color rgb="FF366092"/>
      <name val="Calibri"/>
      <family val="2"/>
    </font>
    <font>
      <i/>
      <sz val="1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B19D"/>
        <bgColor rgb="FF00B19D"/>
      </patternFill>
    </fill>
    <fill>
      <patternFill patternType="solid">
        <fgColor rgb="FF91D8D0"/>
        <bgColor rgb="FF91D8D0"/>
      </patternFill>
    </fill>
    <fill>
      <patternFill patternType="solid">
        <fgColor rgb="FF00535E"/>
        <bgColor rgb="FF00535E"/>
      </patternFill>
    </fill>
    <fill>
      <patternFill patternType="solid">
        <fgColor rgb="FF6EC5BB"/>
        <bgColor rgb="FF6EC5BB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203664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FFC000"/>
        <bgColor rgb="FFFFC0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7">
    <xf numFmtId="0" fontId="0" fillId="0" borderId="0"/>
    <xf numFmtId="41" fontId="1" fillId="0" borderId="0"/>
    <xf numFmtId="9" fontId="1" fillId="0" borderId="0"/>
    <xf numFmtId="43" fontId="1" fillId="0" borderId="0"/>
    <xf numFmtId="0" fontId="11" fillId="0" borderId="0"/>
    <xf numFmtId="0" fontId="21" fillId="0" borderId="0"/>
    <xf numFmtId="42" fontId="1" fillId="0" borderId="0" applyFont="0" applyFill="0" applyBorder="0" applyAlignment="0" applyProtection="0"/>
  </cellStyleXfs>
  <cellXfs count="268"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41" fontId="0" fillId="0" borderId="0" xfId="0" applyNumberFormat="1" applyAlignment="1">
      <alignment horizontal="center" vertical="top"/>
    </xf>
    <xf numFmtId="41" fontId="0" fillId="0" borderId="0" xfId="1" applyFont="1" applyAlignment="1">
      <alignment horizontal="center" vertical="top"/>
    </xf>
    <xf numFmtId="41" fontId="0" fillId="0" borderId="0" xfId="1" applyFont="1"/>
    <xf numFmtId="41" fontId="3" fillId="0" borderId="0" xfId="1" applyFont="1"/>
    <xf numFmtId="0" fontId="3" fillId="0" borderId="0" xfId="0" applyFont="1"/>
    <xf numFmtId="10" fontId="7" fillId="0" borderId="1" xfId="2" applyNumberFormat="1" applyFont="1" applyBorder="1" applyAlignment="1">
      <alignment horizontal="center"/>
    </xf>
    <xf numFmtId="3" fontId="0" fillId="0" borderId="1" xfId="3" applyNumberFormat="1" applyFont="1" applyBorder="1" applyAlignment="1">
      <alignment horizontal="center" vertical="top"/>
    </xf>
    <xf numFmtId="164" fontId="0" fillId="0" borderId="1" xfId="1" applyNumberFormat="1" applyFont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41" fontId="3" fillId="0" borderId="1" xfId="1" applyFont="1" applyBorder="1" applyAlignment="1">
      <alignment horizontal="center" vertical="top"/>
    </xf>
    <xf numFmtId="3" fontId="3" fillId="0" borderId="1" xfId="1" applyNumberFormat="1" applyFont="1" applyBorder="1" applyAlignment="1">
      <alignment horizontal="center" vertical="top"/>
    </xf>
    <xf numFmtId="3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 vertical="top"/>
    </xf>
    <xf numFmtId="3" fontId="0" fillId="0" borderId="0" xfId="0" applyNumberFormat="1" applyAlignment="1">
      <alignment horizontal="center"/>
    </xf>
    <xf numFmtId="10" fontId="3" fillId="0" borderId="1" xfId="2" applyNumberFormat="1" applyFont="1" applyBorder="1" applyAlignment="1">
      <alignment horizontal="center" wrapText="1"/>
    </xf>
    <xf numFmtId="3" fontId="3" fillId="0" borderId="1" xfId="1" applyNumberFormat="1" applyFont="1" applyBorder="1" applyAlignment="1">
      <alignment horizontal="center" wrapText="1"/>
    </xf>
    <xf numFmtId="3" fontId="0" fillId="0" borderId="0" xfId="1" applyNumberFormat="1" applyFont="1" applyAlignment="1">
      <alignment wrapText="1"/>
    </xf>
    <xf numFmtId="3" fontId="0" fillId="0" borderId="0" xfId="3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41" fontId="0" fillId="0" borderId="0" xfId="1" applyFont="1" applyAlignment="1">
      <alignment horizontal="center"/>
    </xf>
    <xf numFmtId="3" fontId="3" fillId="0" borderId="1" xfId="1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41" fontId="0" fillId="0" borderId="0" xfId="0" applyNumberFormat="1" applyAlignment="1">
      <alignment wrapText="1"/>
    </xf>
    <xf numFmtId="41" fontId="0" fillId="0" borderId="0" xfId="1" applyFont="1" applyAlignment="1">
      <alignment horizontal="center" vertical="top" wrapText="1"/>
    </xf>
    <xf numFmtId="10" fontId="0" fillId="0" borderId="0" xfId="0" applyNumberFormat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41" fontId="2" fillId="0" borderId="0" xfId="0" applyNumberFormat="1" applyFont="1" applyAlignment="1">
      <alignment horizontal="center" vertical="top" wrapText="1"/>
    </xf>
    <xf numFmtId="3" fontId="0" fillId="0" borderId="0" xfId="0" applyNumberFormat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3" applyNumberFormat="1" applyFon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3" fontId="0" fillId="0" borderId="1" xfId="1" applyNumberFormat="1" applyFont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 wrapText="1"/>
    </xf>
    <xf numFmtId="3" fontId="2" fillId="2" borderId="2" xfId="1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vertical="center" wrapText="1"/>
    </xf>
    <xf numFmtId="3" fontId="0" fillId="2" borderId="1" xfId="1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2" fillId="2" borderId="1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3" fontId="7" fillId="0" borderId="1" xfId="3" applyNumberFormat="1" applyFont="1" applyBorder="1" applyAlignment="1">
      <alignment horizontal="center" vertical="top"/>
    </xf>
    <xf numFmtId="165" fontId="0" fillId="0" borderId="1" xfId="2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3" fontId="3" fillId="0" borderId="0" xfId="0" applyNumberFormat="1" applyFont="1" applyAlignment="1">
      <alignment horizontal="center" vertical="center" wrapText="1"/>
    </xf>
    <xf numFmtId="10" fontId="7" fillId="0" borderId="1" xfId="2" applyNumberFormat="1" applyFont="1" applyBorder="1" applyAlignment="1">
      <alignment horizontal="center" wrapText="1"/>
    </xf>
    <xf numFmtId="3" fontId="3" fillId="0" borderId="0" xfId="1" applyNumberFormat="1" applyFont="1" applyAlignment="1">
      <alignment horizontal="center" wrapText="1"/>
    </xf>
    <xf numFmtId="3" fontId="0" fillId="0" borderId="0" xfId="1" applyNumberFormat="1" applyFont="1" applyAlignment="1">
      <alignment horizontal="center" wrapText="1"/>
    </xf>
    <xf numFmtId="3" fontId="2" fillId="0" borderId="1" xfId="1" applyNumberFormat="1" applyFont="1" applyBorder="1" applyAlignment="1">
      <alignment horizontal="center" wrapText="1"/>
    </xf>
    <xf numFmtId="3" fontId="0" fillId="0" borderId="1" xfId="1" applyNumberFormat="1" applyFont="1" applyBorder="1" applyAlignment="1">
      <alignment horizontal="center" wrapText="1"/>
    </xf>
    <xf numFmtId="3" fontId="7" fillId="0" borderId="1" xfId="1" applyNumberFormat="1" applyFont="1" applyBorder="1" applyAlignment="1">
      <alignment horizontal="center" wrapText="1"/>
    </xf>
    <xf numFmtId="3" fontId="4" fillId="0" borderId="1" xfId="1" applyNumberFormat="1" applyFont="1" applyBorder="1" applyAlignment="1">
      <alignment horizontal="center" wrapText="1"/>
    </xf>
    <xf numFmtId="3" fontId="5" fillId="0" borderId="1" xfId="1" applyNumberFormat="1" applyFont="1" applyBorder="1" applyAlignment="1">
      <alignment horizontal="center" wrapText="1"/>
    </xf>
    <xf numFmtId="3" fontId="2" fillId="0" borderId="1" xfId="1" applyNumberFormat="1" applyFont="1" applyBorder="1" applyAlignment="1">
      <alignment wrapText="1"/>
    </xf>
    <xf numFmtId="3" fontId="9" fillId="0" borderId="1" xfId="1" applyNumberFormat="1" applyFont="1" applyBorder="1" applyAlignment="1">
      <alignment horizontal="center" wrapText="1"/>
    </xf>
    <xf numFmtId="3" fontId="0" fillId="0" borderId="0" xfId="2" applyNumberFormat="1" applyFont="1" applyAlignment="1">
      <alignment wrapText="1"/>
    </xf>
    <xf numFmtId="3" fontId="0" fillId="0" borderId="0" xfId="2" applyNumberFormat="1" applyFont="1" applyAlignment="1">
      <alignment horizontal="center" wrapText="1"/>
    </xf>
    <xf numFmtId="3" fontId="8" fillId="0" borderId="1" xfId="1" applyNumberFormat="1" applyFont="1" applyBorder="1" applyAlignment="1">
      <alignment horizontal="center" wrapText="1"/>
    </xf>
    <xf numFmtId="9" fontId="7" fillId="0" borderId="1" xfId="2" applyFont="1" applyBorder="1" applyAlignment="1">
      <alignment horizontal="center" wrapText="1"/>
    </xf>
    <xf numFmtId="3" fontId="9" fillId="0" borderId="1" xfId="1" applyNumberFormat="1" applyFont="1" applyBorder="1" applyAlignment="1">
      <alignment wrapText="1"/>
    </xf>
    <xf numFmtId="3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left" wrapText="1"/>
    </xf>
    <xf numFmtId="3" fontId="8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horizontal="center" wrapText="1"/>
    </xf>
    <xf numFmtId="3" fontId="8" fillId="3" borderId="1" xfId="0" applyNumberFormat="1" applyFont="1" applyFill="1" applyBorder="1" applyAlignment="1">
      <alignment horizontal="center" wrapText="1"/>
    </xf>
    <xf numFmtId="3" fontId="7" fillId="0" borderId="1" xfId="0" applyNumberFormat="1" applyFont="1" applyBorder="1" applyAlignment="1">
      <alignment horizontal="center" wrapText="1"/>
    </xf>
    <xf numFmtId="3" fontId="7" fillId="2" borderId="1" xfId="0" applyNumberFormat="1" applyFont="1" applyFill="1" applyBorder="1" applyAlignment="1">
      <alignment horizontal="center" wrapText="1"/>
    </xf>
    <xf numFmtId="3" fontId="8" fillId="0" borderId="1" xfId="0" applyNumberFormat="1" applyFont="1" applyBorder="1" applyAlignment="1">
      <alignment horizontal="center" wrapText="1"/>
    </xf>
    <xf numFmtId="3" fontId="10" fillId="0" borderId="0" xfId="0" applyNumberFormat="1" applyFont="1" applyAlignment="1">
      <alignment horizontal="center" wrapText="1"/>
    </xf>
    <xf numFmtId="166" fontId="7" fillId="0" borderId="0" xfId="0" applyNumberFormat="1" applyFont="1" applyAlignment="1">
      <alignment horizontal="center" wrapText="1"/>
    </xf>
    <xf numFmtId="3" fontId="8" fillId="3" borderId="1" xfId="1" applyNumberFormat="1" applyFont="1" applyFill="1" applyBorder="1" applyAlignment="1">
      <alignment horizontal="center" wrapText="1"/>
    </xf>
    <xf numFmtId="10" fontId="7" fillId="2" borderId="1" xfId="2" applyNumberFormat="1" applyFont="1" applyFill="1" applyBorder="1" applyAlignment="1">
      <alignment horizontal="center" wrapText="1"/>
    </xf>
    <xf numFmtId="10" fontId="8" fillId="3" borderId="1" xfId="2" applyNumberFormat="1" applyFont="1" applyFill="1" applyBorder="1" applyAlignment="1">
      <alignment horizontal="center" wrapText="1"/>
    </xf>
    <xf numFmtId="3" fontId="7" fillId="3" borderId="1" xfId="0" applyNumberFormat="1" applyFont="1" applyFill="1" applyBorder="1" applyAlignment="1">
      <alignment horizontal="center" wrapText="1"/>
    </xf>
    <xf numFmtId="3" fontId="8" fillId="0" borderId="0" xfId="0" applyNumberFormat="1" applyFont="1" applyAlignment="1">
      <alignment horizontal="left" wrapText="1"/>
    </xf>
    <xf numFmtId="3" fontId="7" fillId="3" borderId="1" xfId="1" applyNumberFormat="1" applyFont="1" applyFill="1" applyBorder="1" applyAlignment="1">
      <alignment horizontal="center" wrapText="1"/>
    </xf>
    <xf numFmtId="165" fontId="7" fillId="0" borderId="0" xfId="2" applyNumberFormat="1" applyFont="1" applyAlignment="1">
      <alignment horizontal="center" wrapText="1"/>
    </xf>
    <xf numFmtId="3" fontId="3" fillId="0" borderId="1" xfId="0" applyNumberFormat="1" applyFont="1" applyBorder="1" applyAlignment="1">
      <alignment horizontal="center" wrapText="1"/>
    </xf>
    <xf numFmtId="10" fontId="8" fillId="2" borderId="1" xfId="2" applyNumberFormat="1" applyFont="1" applyFill="1" applyBorder="1" applyAlignment="1">
      <alignment horizontal="center" wrapText="1"/>
    </xf>
    <xf numFmtId="10" fontId="7" fillId="0" borderId="1" xfId="2" quotePrefix="1" applyNumberFormat="1" applyFont="1" applyBorder="1" applyAlignment="1">
      <alignment horizontal="center" wrapText="1"/>
    </xf>
    <xf numFmtId="0" fontId="3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 wrapText="1"/>
    </xf>
    <xf numFmtId="10" fontId="6" fillId="0" borderId="0" xfId="2" applyNumberFormat="1" applyFont="1" applyAlignment="1">
      <alignment horizontal="center"/>
    </xf>
    <xf numFmtId="41" fontId="3" fillId="0" borderId="0" xfId="1" applyFont="1" applyAlignment="1">
      <alignment horizontal="center"/>
    </xf>
    <xf numFmtId="41" fontId="3" fillId="0" borderId="0" xfId="1" applyFont="1" applyAlignment="1">
      <alignment horizontal="center" wrapText="1"/>
    </xf>
    <xf numFmtId="10" fontId="3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168" fontId="0" fillId="0" borderId="0" xfId="0" applyNumberForma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vertical="center" wrapText="1"/>
    </xf>
    <xf numFmtId="3" fontId="0" fillId="0" borderId="1" xfId="0" applyNumberFormat="1" applyBorder="1" applyAlignment="1">
      <alignment horizontal="center" vertical="top" wrapText="1"/>
    </xf>
    <xf numFmtId="3" fontId="7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41" fontId="2" fillId="0" borderId="1" xfId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41" fontId="5" fillId="0" borderId="1" xfId="1" applyFont="1" applyBorder="1" applyAlignment="1">
      <alignment horizontal="center" vertical="top" wrapText="1"/>
    </xf>
    <xf numFmtId="41" fontId="5" fillId="0" borderId="1" xfId="0" applyNumberFormat="1" applyFont="1" applyBorder="1" applyAlignment="1">
      <alignment horizontal="center" vertical="top" wrapText="1"/>
    </xf>
    <xf numFmtId="41" fontId="3" fillId="0" borderId="1" xfId="1" applyFont="1" applyBorder="1" applyAlignment="1">
      <alignment horizontal="center" vertical="top" wrapText="1"/>
    </xf>
    <xf numFmtId="41" fontId="3" fillId="0" borderId="1" xfId="0" applyNumberFormat="1" applyFont="1" applyBorder="1" applyAlignment="1">
      <alignment horizontal="center" vertical="top" wrapText="1"/>
    </xf>
    <xf numFmtId="169" fontId="7" fillId="0" borderId="1" xfId="0" applyNumberFormat="1" applyFont="1" applyBorder="1" applyAlignment="1">
      <alignment horizontal="center" vertical="top" wrapText="1"/>
    </xf>
    <xf numFmtId="170" fontId="3" fillId="0" borderId="0" xfId="1" applyNumberFormat="1" applyFont="1"/>
    <xf numFmtId="3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top" wrapText="1"/>
    </xf>
    <xf numFmtId="10" fontId="2" fillId="2" borderId="1" xfId="0" applyNumberFormat="1" applyFont="1" applyFill="1" applyBorder="1" applyAlignment="1">
      <alignment horizontal="center" vertical="center" wrapText="1"/>
    </xf>
    <xf numFmtId="3" fontId="0" fillId="2" borderId="0" xfId="0" applyNumberFormat="1" applyFill="1" applyAlignment="1">
      <alignment horizontal="center" vertical="center" wrapText="1"/>
    </xf>
    <xf numFmtId="3" fontId="0" fillId="0" borderId="1" xfId="3" applyNumberFormat="1" applyFont="1" applyBorder="1" applyAlignment="1">
      <alignment horizontal="center"/>
    </xf>
    <xf numFmtId="168" fontId="0" fillId="0" borderId="1" xfId="3" applyNumberFormat="1" applyFont="1" applyBorder="1" applyAlignment="1">
      <alignment horizontal="center"/>
    </xf>
    <xf numFmtId="41" fontId="10" fillId="0" borderId="0" xfId="1" applyFont="1" applyAlignment="1">
      <alignment horizontal="center"/>
    </xf>
    <xf numFmtId="3" fontId="10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3" fontId="6" fillId="0" borderId="0" xfId="0" applyNumberFormat="1" applyFont="1" applyAlignment="1">
      <alignment horizontal="center" vertical="center" wrapText="1"/>
    </xf>
    <xf numFmtId="10" fontId="0" fillId="0" borderId="0" xfId="2" applyNumberFormat="1" applyFont="1" applyAlignment="1">
      <alignment horizontal="center" vertical="center" wrapText="1"/>
    </xf>
    <xf numFmtId="168" fontId="0" fillId="0" borderId="1" xfId="1" applyNumberFormat="1" applyFont="1" applyBorder="1" applyAlignment="1">
      <alignment horizontal="center" wrapText="1"/>
    </xf>
    <xf numFmtId="4" fontId="0" fillId="0" borderId="1" xfId="1" applyNumberFormat="1" applyFont="1" applyBorder="1" applyAlignment="1">
      <alignment horizontal="center" wrapText="1"/>
    </xf>
    <xf numFmtId="3" fontId="7" fillId="2" borderId="1" xfId="1" applyNumberFormat="1" applyFont="1" applyFill="1" applyBorder="1" applyAlignment="1">
      <alignment horizontal="center" wrapText="1"/>
    </xf>
    <xf numFmtId="3" fontId="2" fillId="2" borderId="1" xfId="1" applyNumberFormat="1" applyFont="1" applyFill="1" applyBorder="1" applyAlignment="1">
      <alignment horizontal="center" wrapText="1"/>
    </xf>
    <xf numFmtId="3" fontId="3" fillId="2" borderId="1" xfId="1" applyNumberFormat="1" applyFont="1" applyFill="1" applyBorder="1" applyAlignment="1">
      <alignment horizontal="center" wrapText="1"/>
    </xf>
    <xf numFmtId="3" fontId="4" fillId="2" borderId="1" xfId="1" applyNumberFormat="1" applyFont="1" applyFill="1" applyBorder="1" applyAlignment="1">
      <alignment horizontal="center" wrapText="1"/>
    </xf>
    <xf numFmtId="4" fontId="7" fillId="0" borderId="1" xfId="0" applyNumberFormat="1" applyFont="1" applyBorder="1" applyAlignment="1">
      <alignment horizontal="center" vertical="center" wrapText="1"/>
    </xf>
    <xf numFmtId="171" fontId="7" fillId="0" borderId="1" xfId="0" applyNumberFormat="1" applyFont="1" applyBorder="1" applyAlignment="1">
      <alignment horizontal="center" vertical="center" wrapText="1"/>
    </xf>
    <xf numFmtId="9" fontId="7" fillId="0" borderId="1" xfId="2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10" fontId="8" fillId="2" borderId="1" xfId="2" applyNumberFormat="1" applyFont="1" applyFill="1" applyBorder="1" applyAlignment="1">
      <alignment horizontal="center" vertical="center" wrapText="1"/>
    </xf>
    <xf numFmtId="171" fontId="8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 vertical="top"/>
    </xf>
    <xf numFmtId="0" fontId="10" fillId="0" borderId="0" xfId="0" applyFont="1"/>
    <xf numFmtId="172" fontId="0" fillId="4" borderId="0" xfId="0" applyNumberFormat="1" applyFill="1"/>
    <xf numFmtId="172" fontId="0" fillId="4" borderId="6" xfId="0" applyNumberFormat="1" applyFill="1" applyBorder="1" applyAlignment="1">
      <alignment horizontal="center" vertical="center"/>
    </xf>
    <xf numFmtId="172" fontId="12" fillId="7" borderId="6" xfId="0" applyNumberFormat="1" applyFont="1" applyFill="1" applyBorder="1" applyAlignment="1">
      <alignment horizontal="center" vertical="center"/>
    </xf>
    <xf numFmtId="172" fontId="2" fillId="4" borderId="0" xfId="0" applyNumberFormat="1" applyFont="1" applyFill="1" applyAlignment="1">
      <alignment horizontal="center" vertical="center"/>
    </xf>
    <xf numFmtId="172" fontId="2" fillId="8" borderId="6" xfId="0" applyNumberFormat="1" applyFont="1" applyFill="1" applyBorder="1" applyAlignment="1">
      <alignment horizontal="center" vertical="center" wrapText="1"/>
    </xf>
    <xf numFmtId="172" fontId="2" fillId="6" borderId="6" xfId="0" applyNumberFormat="1" applyFont="1" applyFill="1" applyBorder="1" applyAlignment="1">
      <alignment horizontal="center" vertical="center"/>
    </xf>
    <xf numFmtId="172" fontId="2" fillId="6" borderId="6" xfId="0" applyNumberFormat="1" applyFont="1" applyFill="1" applyBorder="1" applyAlignment="1">
      <alignment horizontal="center" vertical="center" wrapText="1"/>
    </xf>
    <xf numFmtId="172" fontId="0" fillId="4" borderId="6" xfId="0" applyNumberFormat="1" applyFill="1" applyBorder="1"/>
    <xf numFmtId="172" fontId="2" fillId="4" borderId="0" xfId="0" applyNumberFormat="1" applyFont="1" applyFill="1"/>
    <xf numFmtId="172" fontId="2" fillId="8" borderId="6" xfId="0" applyNumberFormat="1" applyFont="1" applyFill="1" applyBorder="1"/>
    <xf numFmtId="172" fontId="12" fillId="7" borderId="6" xfId="0" applyNumberFormat="1" applyFont="1" applyFill="1" applyBorder="1"/>
    <xf numFmtId="9" fontId="0" fillId="0" borderId="1" xfId="2" applyFont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0" fontId="3" fillId="2" borderId="1" xfId="2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top"/>
    </xf>
    <xf numFmtId="41" fontId="3" fillId="2" borderId="1" xfId="1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3" fontId="0" fillId="2" borderId="1" xfId="3" applyNumberFormat="1" applyFont="1" applyFill="1" applyBorder="1" applyAlignment="1">
      <alignment horizontal="center" vertical="top"/>
    </xf>
    <xf numFmtId="10" fontId="7" fillId="2" borderId="1" xfId="2" applyNumberFormat="1" applyFont="1" applyFill="1" applyBorder="1" applyAlignment="1">
      <alignment horizontal="center"/>
    </xf>
    <xf numFmtId="3" fontId="7" fillId="2" borderId="1" xfId="3" applyNumberFormat="1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/>
    </xf>
    <xf numFmtId="10" fontId="3" fillId="2" borderId="1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 vertical="top" wrapText="1"/>
    </xf>
    <xf numFmtId="9" fontId="0" fillId="0" borderId="1" xfId="2" applyFont="1" applyBorder="1" applyAlignment="1">
      <alignment horizontal="center"/>
    </xf>
    <xf numFmtId="3" fontId="0" fillId="2" borderId="0" xfId="0" applyNumberFormat="1" applyFill="1" applyAlignment="1">
      <alignment horizontal="center" vertical="top" wrapText="1"/>
    </xf>
    <xf numFmtId="41" fontId="0" fillId="0" borderId="0" xfId="1" applyFont="1" applyAlignment="1">
      <alignment horizontal="center" vertical="center"/>
    </xf>
    <xf numFmtId="0" fontId="16" fillId="0" borderId="0" xfId="0" applyFont="1" applyAlignment="1">
      <alignment wrapText="1"/>
    </xf>
    <xf numFmtId="0" fontId="16" fillId="0" borderId="6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wrapText="1"/>
    </xf>
    <xf numFmtId="9" fontId="0" fillId="0" borderId="0" xfId="2" applyFont="1" applyAlignment="1">
      <alignment horizontal="center" vertical="top" wrapText="1"/>
    </xf>
    <xf numFmtId="0" fontId="0" fillId="10" borderId="1" xfId="0" applyFill="1" applyBorder="1"/>
    <xf numFmtId="0" fontId="0" fillId="0" borderId="1" xfId="0" applyBorder="1"/>
    <xf numFmtId="1" fontId="10" fillId="0" borderId="1" xfId="0" applyNumberFormat="1" applyFont="1" applyBorder="1"/>
    <xf numFmtId="3" fontId="0" fillId="0" borderId="1" xfId="0" applyNumberFormat="1" applyBorder="1"/>
    <xf numFmtId="10" fontId="2" fillId="0" borderId="0" xfId="0" applyNumberFormat="1" applyFont="1" applyAlignment="1">
      <alignment horizontal="center" vertical="top" wrapText="1"/>
    </xf>
    <xf numFmtId="165" fontId="0" fillId="0" borderId="1" xfId="2" applyNumberFormat="1" applyFont="1" applyBorder="1" applyAlignment="1">
      <alignment horizontal="center"/>
    </xf>
    <xf numFmtId="9" fontId="0" fillId="0" borderId="0" xfId="2" applyFont="1"/>
    <xf numFmtId="3" fontId="2" fillId="0" borderId="6" xfId="3" applyNumberFormat="1" applyFont="1" applyBorder="1" applyAlignment="1">
      <alignment horizontal="center"/>
    </xf>
    <xf numFmtId="0" fontId="0" fillId="0" borderId="14" xfId="0" applyBorder="1" applyAlignment="1">
      <alignment horizontal="center" vertical="top" wrapText="1"/>
    </xf>
    <xf numFmtId="3" fontId="0" fillId="0" borderId="14" xfId="3" applyNumberFormat="1" applyFont="1" applyBorder="1" applyAlignment="1">
      <alignment horizontal="center"/>
    </xf>
    <xf numFmtId="166" fontId="0" fillId="0" borderId="0" xfId="0" applyNumberFormat="1" applyAlignment="1">
      <alignment vertical="center" wrapText="1"/>
    </xf>
    <xf numFmtId="3" fontId="0" fillId="0" borderId="6" xfId="0" applyNumberFormat="1" applyBorder="1" applyAlignment="1">
      <alignment horizontal="center" vertical="center" wrapText="1"/>
    </xf>
    <xf numFmtId="166" fontId="0" fillId="0" borderId="6" xfId="0" applyNumberFormat="1" applyBorder="1" applyAlignment="1">
      <alignment horizontal="center" vertical="center" wrapText="1"/>
    </xf>
    <xf numFmtId="3" fontId="7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0" fontId="7" fillId="2" borderId="12" xfId="2" applyNumberFormat="1" applyFont="1" applyFill="1" applyBorder="1" applyAlignment="1">
      <alignment horizontal="center" wrapText="1"/>
    </xf>
    <xf numFmtId="165" fontId="0" fillId="0" borderId="1" xfId="2" applyNumberFormat="1" applyFont="1" applyBorder="1"/>
    <xf numFmtId="10" fontId="0" fillId="0" borderId="1" xfId="0" applyNumberFormat="1" applyBorder="1"/>
    <xf numFmtId="3" fontId="17" fillId="0" borderId="1" xfId="0" applyNumberFormat="1" applyFont="1" applyBorder="1"/>
    <xf numFmtId="10" fontId="17" fillId="0" borderId="1" xfId="2" applyNumberFormat="1" applyFont="1" applyBorder="1"/>
    <xf numFmtId="0" fontId="19" fillId="13" borderId="1" xfId="0" applyFont="1" applyFill="1" applyBorder="1" applyAlignment="1">
      <alignment horizontal="center" vertical="center"/>
    </xf>
    <xf numFmtId="168" fontId="20" fillId="13" borderId="1" xfId="0" applyNumberFormat="1" applyFont="1" applyFill="1" applyBorder="1"/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0" fillId="0" borderId="14" xfId="2" applyFont="1" applyBorder="1" applyAlignment="1">
      <alignment horizontal="center" vertical="center"/>
    </xf>
    <xf numFmtId="0" fontId="21" fillId="0" borderId="0" xfId="5" applyAlignment="1">
      <alignment wrapText="1"/>
    </xf>
    <xf numFmtId="165" fontId="0" fillId="0" borderId="0" xfId="2" applyNumberFormat="1" applyFont="1"/>
    <xf numFmtId="0" fontId="21" fillId="0" borderId="0" xfId="5"/>
    <xf numFmtId="10" fontId="0" fillId="0" borderId="0" xfId="2" applyNumberFormat="1" applyFont="1"/>
    <xf numFmtId="0" fontId="21" fillId="0" borderId="0" xfId="5" applyAlignment="1">
      <alignment horizontal="center" vertical="center" wrapText="1"/>
    </xf>
    <xf numFmtId="10" fontId="0" fillId="0" borderId="0" xfId="2" applyNumberFormat="1" applyFont="1" applyAlignment="1">
      <alignment horizontal="center" vertical="center"/>
    </xf>
    <xf numFmtId="10" fontId="0" fillId="0" borderId="0" xfId="0" applyNumberFormat="1"/>
    <xf numFmtId="10" fontId="0" fillId="0" borderId="1" xfId="0" applyNumberFormat="1" applyBorder="1" applyAlignment="1">
      <alignment horizontal="center" vertical="center"/>
    </xf>
    <xf numFmtId="9" fontId="0" fillId="0" borderId="0" xfId="0" applyNumberFormat="1"/>
    <xf numFmtId="0" fontId="23" fillId="15" borderId="0" xfId="0" applyFont="1" applyFill="1"/>
    <xf numFmtId="0" fontId="23" fillId="15" borderId="0" xfId="0" applyFont="1" applyFill="1" applyAlignment="1">
      <alignment horizontal="center" wrapText="1"/>
    </xf>
    <xf numFmtId="42" fontId="0" fillId="0" borderId="0" xfId="6" applyFont="1"/>
    <xf numFmtId="10" fontId="1" fillId="0" borderId="0" xfId="2" applyNumberFormat="1"/>
    <xf numFmtId="0" fontId="24" fillId="2" borderId="0" xfId="0" applyFont="1" applyFill="1"/>
    <xf numFmtId="0" fontId="19" fillId="13" borderId="12" xfId="0" applyFont="1" applyFill="1" applyBorder="1" applyAlignment="1">
      <alignment horizontal="center" vertical="center"/>
    </xf>
    <xf numFmtId="0" fontId="19" fillId="13" borderId="2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left" vertical="center"/>
    </xf>
    <xf numFmtId="0" fontId="0" fillId="0" borderId="2" xfId="0" applyBorder="1"/>
    <xf numFmtId="0" fontId="0" fillId="2" borderId="1" xfId="0" applyFill="1" applyBorder="1" applyAlignment="1">
      <alignment horizontal="center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1" xfId="0" applyBorder="1"/>
    <xf numFmtId="0" fontId="0" fillId="0" borderId="19" xfId="0" applyBorder="1"/>
    <xf numFmtId="0" fontId="18" fillId="12" borderId="1" xfId="4" applyFont="1" applyFill="1" applyBorder="1" applyAlignment="1">
      <alignment horizontal="center" vertical="center"/>
    </xf>
    <xf numFmtId="0" fontId="0" fillId="0" borderId="15" xfId="0" applyBorder="1"/>
    <xf numFmtId="0" fontId="17" fillId="11" borderId="1" xfId="0" applyFont="1" applyFill="1" applyBorder="1" applyAlignment="1">
      <alignment horizontal="center" vertical="center"/>
    </xf>
    <xf numFmtId="0" fontId="22" fillId="14" borderId="0" xfId="0" applyFont="1" applyFill="1"/>
    <xf numFmtId="0" fontId="0" fillId="0" borderId="0" xfId="0"/>
    <xf numFmtId="0" fontId="25" fillId="0" borderId="0" xfId="0" applyFont="1"/>
    <xf numFmtId="0" fontId="19" fillId="13" borderId="15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3" fillId="0" borderId="11" xfId="0" applyFont="1" applyBorder="1" applyAlignment="1">
      <alignment horizontal="center" vertical="top" wrapText="1"/>
    </xf>
    <xf numFmtId="3" fontId="2" fillId="0" borderId="1" xfId="0" applyNumberFormat="1" applyFont="1" applyBorder="1" applyAlignment="1">
      <alignment horizontal="center" vertical="center" wrapText="1"/>
    </xf>
    <xf numFmtId="41" fontId="10" fillId="0" borderId="0" xfId="1" applyFont="1" applyAlignment="1">
      <alignment horizontal="center" vertical="top"/>
    </xf>
    <xf numFmtId="0" fontId="10" fillId="0" borderId="0" xfId="0" applyFont="1" applyAlignment="1">
      <alignment horizontal="center"/>
    </xf>
    <xf numFmtId="172" fontId="13" fillId="5" borderId="6" xfId="0" applyNumberFormat="1" applyFont="1" applyFill="1" applyBorder="1" applyAlignment="1">
      <alignment horizontal="center" vertical="center" wrapText="1"/>
    </xf>
    <xf numFmtId="0" fontId="0" fillId="0" borderId="9" xfId="0" applyBorder="1"/>
    <xf numFmtId="172" fontId="0" fillId="4" borderId="6" xfId="0" applyNumberFormat="1" applyFill="1" applyBorder="1" applyAlignment="1">
      <alignment horizontal="left"/>
    </xf>
    <xf numFmtId="0" fontId="0" fillId="0" borderId="3" xfId="0" applyBorder="1"/>
    <xf numFmtId="0" fontId="0" fillId="0" borderId="4" xfId="0" applyBorder="1"/>
    <xf numFmtId="172" fontId="12" fillId="5" borderId="6" xfId="0" applyNumberFormat="1" applyFont="1" applyFill="1" applyBorder="1" applyAlignment="1">
      <alignment horizontal="center" vertical="center" wrapText="1"/>
    </xf>
    <xf numFmtId="172" fontId="14" fillId="4" borderId="6" xfId="0" applyNumberFormat="1" applyFont="1" applyFill="1" applyBorder="1" applyAlignment="1">
      <alignment horizontal="left" vertical="center" wrapText="1"/>
    </xf>
    <xf numFmtId="172" fontId="0" fillId="4" borderId="7" xfId="0" applyNumberFormat="1" applyFill="1" applyBorder="1" applyAlignment="1">
      <alignment horizontal="center"/>
    </xf>
    <xf numFmtId="0" fontId="0" fillId="0" borderId="7" xfId="0" applyBorder="1"/>
    <xf numFmtId="172" fontId="12" fillId="5" borderId="8" xfId="0" applyNumberFormat="1" applyFont="1" applyFill="1" applyBorder="1" applyAlignment="1">
      <alignment horizontal="center" wrapText="1"/>
    </xf>
    <xf numFmtId="0" fontId="0" fillId="0" borderId="5" xfId="0" applyBorder="1"/>
    <xf numFmtId="0" fontId="0" fillId="0" borderId="8" xfId="0" applyBorder="1"/>
    <xf numFmtId="172" fontId="2" fillId="8" borderId="6" xfId="0" applyNumberFormat="1" applyFont="1" applyFill="1" applyBorder="1" applyAlignment="1">
      <alignment horizontal="center"/>
    </xf>
    <xf numFmtId="172" fontId="0" fillId="4" borderId="6" xfId="0" applyNumberFormat="1" applyFill="1" applyBorder="1"/>
    <xf numFmtId="172" fontId="13" fillId="5" borderId="6" xfId="0" applyNumberFormat="1" applyFont="1" applyFill="1" applyBorder="1" applyAlignment="1">
      <alignment horizontal="center"/>
    </xf>
    <xf numFmtId="172" fontId="2" fillId="8" borderId="20" xfId="0" applyNumberFormat="1" applyFont="1" applyFill="1" applyBorder="1" applyAlignment="1">
      <alignment horizontal="center" vertical="center" wrapText="1"/>
    </xf>
    <xf numFmtId="0" fontId="0" fillId="0" borderId="10" xfId="0" applyBorder="1"/>
    <xf numFmtId="172" fontId="12" fillId="7" borderId="6" xfId="0" applyNumberFormat="1" applyFont="1" applyFill="1" applyBorder="1" applyAlignment="1">
      <alignment horizontal="left"/>
    </xf>
    <xf numFmtId="172" fontId="0" fillId="4" borderId="0" xfId="0" applyNumberFormat="1" applyFill="1" applyAlignment="1">
      <alignment horizontal="center"/>
    </xf>
    <xf numFmtId="0" fontId="26" fillId="0" borderId="0" xfId="0" applyFont="1"/>
    <xf numFmtId="0" fontId="24" fillId="16" borderId="0" xfId="0" applyFont="1" applyFill="1"/>
  </cellXfs>
  <cellStyles count="7">
    <cellStyle name="Comma" xfId="3" builtinId="3"/>
    <cellStyle name="Comma [0]" xfId="1" builtinId="6"/>
    <cellStyle name="Currency [0]" xfId="6" builtinId="7"/>
    <cellStyle name="Hyperlink" xfId="5" builtinId="8"/>
    <cellStyle name="Normal" xfId="0" builtinId="0"/>
    <cellStyle name="Normal 2" xfId="4" xr:uid="{00000000-0005-0000-0000-000004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'Indicadores Macro'!$D$4</c:f>
              <c:strCache>
                <c:ptCount val="1"/>
                <c:pt idx="0">
                  <c:v> IPC Anual 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'Indicadores Macro'!$C$5:$C$10</c:f>
              <c:numCache>
                <c:formatCode>#,##0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'Indicadores Macro'!$D$5:$D$10</c:f>
              <c:numCache>
                <c:formatCode>0.00%</c:formatCode>
                <c:ptCount val="6"/>
                <c:pt idx="0">
                  <c:v>3.7999999999999999E-2</c:v>
                </c:pt>
                <c:pt idx="1">
                  <c:v>1.61E-2</c:v>
                </c:pt>
                <c:pt idx="2">
                  <c:v>5.62E-2</c:v>
                </c:pt>
                <c:pt idx="3">
                  <c:v>0.13120000000000001</c:v>
                </c:pt>
                <c:pt idx="4">
                  <c:v>9.2799999999999994E-2</c:v>
                </c:pt>
                <c:pt idx="5">
                  <c:v>5.1999999999999998E-2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9B-1E44-84A2-95006EE29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63472"/>
        <c:axId val="195260144"/>
      </c:scatterChart>
      <c:valAx>
        <c:axId val="19526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60144"/>
        <c:crosses val="autoZero"/>
        <c:crossBetween val="midCat"/>
      </c:valAx>
      <c:valAx>
        <c:axId val="19526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6347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'Indicadores Macro'!$H$4</c:f>
              <c:strCache>
                <c:ptCount val="1"/>
                <c:pt idx="0">
                  <c:v>IPP Anual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'Indicadores Macro'!$G$5:$G$10</c:f>
              <c:numCache>
                <c:formatCode>#,##0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'Indicadores Macro'!$H$5:$H$10</c:f>
              <c:numCache>
                <c:formatCode>0.00%</c:formatCode>
                <c:ptCount val="6"/>
                <c:pt idx="0">
                  <c:v>2.3E-2</c:v>
                </c:pt>
                <c:pt idx="1">
                  <c:v>1.7000000000000001E-2</c:v>
                </c:pt>
                <c:pt idx="2">
                  <c:v>0.159</c:v>
                </c:pt>
                <c:pt idx="3">
                  <c:v>0.216</c:v>
                </c:pt>
                <c:pt idx="4">
                  <c:v>-2.9000000000000001E-2</c:v>
                </c:pt>
                <c:pt idx="5">
                  <c:v>3.4000000000000002E-2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A8-4349-ABA3-2DDF03DD7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063024"/>
        <c:axId val="199065936"/>
      </c:scatterChart>
      <c:valAx>
        <c:axId val="19906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65936"/>
        <c:crosses val="autoZero"/>
        <c:crossBetween val="midCat"/>
      </c:valAx>
      <c:valAx>
        <c:axId val="19906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63024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'Indicadores Macro'!$L$4</c:f>
              <c:strCache>
                <c:ptCount val="1"/>
                <c:pt idx="0">
                  <c:v> PIB Anual 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'Indicadores Macro'!$K$5:$K$10</c:f>
              <c:numCache>
                <c:formatCode>#,##0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'Indicadores Macro'!$L$5:$L$10</c:f>
              <c:numCache>
                <c:formatCode>0.00%</c:formatCode>
                <c:ptCount val="6"/>
                <c:pt idx="1">
                  <c:v>-5.5E-2</c:v>
                </c:pt>
                <c:pt idx="2">
                  <c:v>0.17299999999999999</c:v>
                </c:pt>
                <c:pt idx="3">
                  <c:v>0.17100000000000001</c:v>
                </c:pt>
                <c:pt idx="4">
                  <c:v>7.6999999999999999E-2</c:v>
                </c:pt>
                <c:pt idx="5">
                  <c:v>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8E-9E49-A6CB-A26F9F57F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307008"/>
        <c:axId val="390307840"/>
      </c:scatterChart>
      <c:valAx>
        <c:axId val="39030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307840"/>
        <c:crosses val="autoZero"/>
        <c:crossBetween val="midCat"/>
      </c:valAx>
      <c:valAx>
        <c:axId val="39030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30700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84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TIB Anual 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'Indicadores Macro'!$L$4</c:f>
              <c:strCache>
                <c:ptCount val="1"/>
                <c:pt idx="0">
                  <c:v> PIB Anual 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'Indicadores Macro'!$O$5:$O$10</c:f>
              <c:numCache>
                <c:formatCode>#,##0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'Indicadores Macro'!$P$5:$P$10</c:f>
              <c:numCache>
                <c:formatCode>0.00%</c:formatCode>
                <c:ptCount val="6"/>
                <c:pt idx="0">
                  <c:v>4.2500000000000003E-2</c:v>
                </c:pt>
                <c:pt idx="1">
                  <c:v>2.75E-2</c:v>
                </c:pt>
                <c:pt idx="2">
                  <c:v>1.7500000000000002E-2</c:v>
                </c:pt>
                <c:pt idx="3">
                  <c:v>7.7499999999999999E-2</c:v>
                </c:pt>
                <c:pt idx="4">
                  <c:v>0.1275</c:v>
                </c:pt>
                <c:pt idx="5">
                  <c:v>0.10249999999999999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BE-124F-A18F-A0426987F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307008"/>
        <c:axId val="390307840"/>
      </c:scatterChart>
      <c:valAx>
        <c:axId val="39030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307840"/>
        <c:crosses val="autoZero"/>
        <c:crossBetween val="midCat"/>
      </c:valAx>
      <c:valAx>
        <c:axId val="39030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7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30700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Proyección de demanda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Demanda!$C$12:$C$16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xVal>
          <c:yVal>
            <c:numRef>
              <c:f>Demanda!$E$12:$E$16</c:f>
              <c:numCache>
                <c:formatCode>#,##0</c:formatCode>
                <c:ptCount val="5"/>
                <c:pt idx="0">
                  <c:v>6875.4905799999988</c:v>
                </c:pt>
                <c:pt idx="1">
                  <c:v>7318.1575818423316</c:v>
                </c:pt>
                <c:pt idx="2">
                  <c:v>7789.3249608199467</c:v>
                </c:pt>
                <c:pt idx="3">
                  <c:v>8290.8276662140706</c:v>
                </c:pt>
                <c:pt idx="4">
                  <c:v>8824.6187874571533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64-AF43-8178-441FDBF00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428640"/>
        <c:axId val="382443200"/>
      </c:scatterChart>
      <c:valAx>
        <c:axId val="382428640"/>
        <c:scaling>
          <c:orientation val="minMax"/>
          <c:min val="20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443200"/>
        <c:crosses val="autoZero"/>
        <c:crossBetween val="midCat"/>
      </c:valAx>
      <c:valAx>
        <c:axId val="3824432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Cantidades demandas</a:t>
                </a:r>
                <a:r>
                  <a:rPr lang="es-CO" baseline="0">
                    <a:solidFill>
                      <a:srgbClr val="FF0000"/>
                    </a:solidFill>
                  </a:rPr>
                  <a:t> por el mercado</a:t>
                </a:r>
                <a:endParaRPr lang="es-CO">
                  <a:solidFill>
                    <a:srgbClr val="FF0000"/>
                  </a:solidFill>
                </a:endParaRP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42864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Curva de demanda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linear"/>
            <c:dispRSqr val="1"/>
            <c:dispEq val="1"/>
            <c:trendlineLbl>
              <c:layout>
                <c:manualLayout>
                  <c:x val="0.10504374453193351"/>
                  <c:y val="-0.55951953922426367"/>
                </c:manualLayout>
              </c:layout>
              <c:numFmt formatCode="General" sourceLinked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Demanda!$E$27:$E$31</c:f>
              <c:numCache>
                <c:formatCode>#,##0</c:formatCode>
                <c:ptCount val="5"/>
                <c:pt idx="0">
                  <c:v>3540.8776486999996</c:v>
                </c:pt>
                <c:pt idx="1">
                  <c:v>3768.8511546488007</c:v>
                </c:pt>
                <c:pt idx="2">
                  <c:v>4011.5023548222725</c:v>
                </c:pt>
                <c:pt idx="3">
                  <c:v>4269.7762481002464</c:v>
                </c:pt>
                <c:pt idx="4">
                  <c:v>4544.6786755404337</c:v>
                </c:pt>
              </c:numCache>
            </c:numRef>
          </c:xVal>
          <c:yVal>
            <c:numRef>
              <c:f>Demanda!$F$27:$F$31</c:f>
              <c:numCache>
                <c:formatCode>#,##0</c:formatCode>
                <c:ptCount val="5"/>
                <c:pt idx="0">
                  <c:v>49794.090474922872</c:v>
                </c:pt>
                <c:pt idx="1">
                  <c:v>46381.773808256214</c:v>
                </c:pt>
                <c:pt idx="2">
                  <c:v>42749.76082020066</c:v>
                </c:pt>
                <c:pt idx="3">
                  <c:v>38883.906729264127</c:v>
                </c:pt>
                <c:pt idx="4">
                  <c:v>34769.156065772797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23-DD47-97F2-26C29CF87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449887"/>
        <c:axId val="1893428671"/>
      </c:scatterChart>
      <c:valAx>
        <c:axId val="189344988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Cantidades demandas por</a:t>
                </a:r>
                <a:r>
                  <a:rPr lang="es-CO" baseline="0">
                    <a:solidFill>
                      <a:srgbClr val="FF0000"/>
                    </a:solidFill>
                  </a:rPr>
                  <a:t> el mercado</a:t>
                </a:r>
                <a:endParaRPr lang="es-CO">
                  <a:solidFill>
                    <a:srgbClr val="FF0000"/>
                  </a:solidFill>
                </a:endParaRP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428671"/>
        <c:crosses val="autoZero"/>
        <c:crossBetween val="midCat"/>
      </c:valAx>
      <c:valAx>
        <c:axId val="18934286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Precio del mercado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449887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rgbClr val="FF0000"/>
                </a:solidFill>
              </a:rPr>
              <a:t>Elasticiad</a:t>
            </a:r>
            <a:r>
              <a:rPr lang="es-CO" baseline="0">
                <a:solidFill>
                  <a:srgbClr val="FF0000"/>
                </a:solidFill>
              </a:rPr>
              <a:t> precio - demanda</a:t>
            </a:r>
            <a:endParaRPr lang="es-CO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Demanda!$E$36</c:f>
              <c:strCache>
                <c:ptCount val="1"/>
                <c:pt idx="0">
                  <c:v>Var q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Demanda!$E$37:$E$41</c:f>
              <c:numCache>
                <c:formatCode>#,##0.0000</c:formatCode>
                <c:ptCount val="5"/>
                <c:pt idx="1">
                  <c:v>6.4383333333333209E-2</c:v>
                </c:pt>
                <c:pt idx="2">
                  <c:v>6.4383333333333292E-2</c:v>
                </c:pt>
                <c:pt idx="3">
                  <c:v>6.438333333333332E-2</c:v>
                </c:pt>
                <c:pt idx="4">
                  <c:v>6.4383333333333265E-2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EE-F447-AD3C-827AE49CD919}"/>
            </c:ext>
          </c:extLst>
        </c:ser>
        <c:ser>
          <c:idx val="1"/>
          <c:order val="1"/>
          <c:tx>
            <c:strRef>
              <c:f>Demanda!$F$36</c:f>
              <c:strCache>
                <c:ptCount val="1"/>
                <c:pt idx="0">
                  <c:v>Var p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Demanda!$F$37:$F$41</c:f>
              <c:numCache>
                <c:formatCode>#,##0.0000</c:formatCode>
                <c:ptCount val="5"/>
                <c:pt idx="1">
                  <c:v>6.8528546944444296E-2</c:v>
                </c:pt>
                <c:pt idx="2">
                  <c:v>7.83069013934313E-2</c:v>
                </c:pt>
                <c:pt idx="3">
                  <c:v>9.0429841401821143E-2</c:v>
                </c:pt>
                <c:pt idx="4">
                  <c:v>0.10582143127080793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EE-F447-AD3C-827AE49CD919}"/>
            </c:ext>
          </c:extLst>
        </c:ser>
        <c:ser>
          <c:idx val="2"/>
          <c:order val="2"/>
          <c:tx>
            <c:strRef>
              <c:f>Demanda!$G$36</c:f>
              <c:strCache>
                <c:ptCount val="1"/>
                <c:pt idx="0">
                  <c:v>epd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Demanda!$G$37:$G$41</c:f>
              <c:numCache>
                <c:formatCode>#,##0.0000</c:formatCode>
                <c:ptCount val="5"/>
                <c:pt idx="1">
                  <c:v>0.93951114103628097</c:v>
                </c:pt>
                <c:pt idx="2">
                  <c:v>0.8221923251675749</c:v>
                </c:pt>
                <c:pt idx="3">
                  <c:v>0.71196999060574184</c:v>
                </c:pt>
                <c:pt idx="4">
                  <c:v>0.60841487929387095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EE-F447-AD3C-827AE49CD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446000"/>
        <c:axId val="1926444560"/>
      </c:lineChart>
      <c:catAx>
        <c:axId val="192644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444560"/>
        <c:crosses val="autoZero"/>
        <c:auto val="1"/>
        <c:lblAlgn val="ctr"/>
        <c:lblOffset val="100"/>
        <c:noMultiLvlLbl val="0"/>
      </c:catAx>
      <c:valAx>
        <c:axId val="192644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44600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Proyección de oferta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Oferta!$C$14:$C$18</c:f>
              <c:numCache>
                <c:formatCode>General</c:formatCod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</c:numCache>
            </c:numRef>
          </c:xVal>
          <c:yVal>
            <c:numRef>
              <c:f>Oferta!$E$14:$E$18</c:f>
              <c:numCache>
                <c:formatCode>#,##0</c:formatCode>
                <c:ptCount val="5"/>
                <c:pt idx="0">
                  <c:v>702.74180793599999</c:v>
                </c:pt>
                <c:pt idx="1">
                  <c:v>751.93373449152</c:v>
                </c:pt>
                <c:pt idx="2">
                  <c:v>804.56909590592647</c:v>
                </c:pt>
                <c:pt idx="3">
                  <c:v>860.8889326193414</c:v>
                </c:pt>
                <c:pt idx="4">
                  <c:v>921.15115790269533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C2-0D41-A49A-001BFDB1F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555248"/>
        <c:axId val="519541936"/>
      </c:scatterChart>
      <c:valAx>
        <c:axId val="519555248"/>
        <c:scaling>
          <c:orientation val="minMax"/>
          <c:min val="202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Años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41936"/>
        <c:crosses val="autoZero"/>
        <c:crossBetween val="midCat"/>
      </c:valAx>
      <c:valAx>
        <c:axId val="5195419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Cantidades ofrecias por el mercaso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5524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rgbClr val="FF0000"/>
                </a:solidFill>
              </a:rPr>
              <a:t> Curva de oferta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Oferta!$F$28</c:f>
              <c:strCache>
                <c:ptCount val="1"/>
                <c:pt idx="0">
                  <c:v> Precio 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Oferta!$E$29:$E$33</c:f>
              <c:numCache>
                <c:formatCode>#,##0</c:formatCode>
                <c:ptCount val="5"/>
                <c:pt idx="0">
                  <c:v>702.74180793599999</c:v>
                </c:pt>
                <c:pt idx="1">
                  <c:v>751.93373449152</c:v>
                </c:pt>
                <c:pt idx="2">
                  <c:v>804.56909590592647</c:v>
                </c:pt>
                <c:pt idx="3">
                  <c:v>860.8889326193414</c:v>
                </c:pt>
                <c:pt idx="4">
                  <c:v>921.15115790269533</c:v>
                </c:pt>
              </c:numCache>
            </c:numRef>
          </c:xVal>
          <c:yVal>
            <c:numRef>
              <c:f>Oferta!$F$29:$F$33</c:f>
              <c:numCache>
                <c:formatCode>#,##0</c:formatCode>
                <c:ptCount val="5"/>
                <c:pt idx="0">
                  <c:v>49532.710280373831</c:v>
                </c:pt>
                <c:pt idx="1">
                  <c:v>53000</c:v>
                </c:pt>
                <c:pt idx="2">
                  <c:v>56710.000000000007</c:v>
                </c:pt>
                <c:pt idx="3">
                  <c:v>60679.700000000012</c:v>
                </c:pt>
                <c:pt idx="4">
                  <c:v>64927.279000000017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FC-2044-B5AF-E58414982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6566480"/>
        <c:axId val="1926568400"/>
      </c:scatterChart>
      <c:valAx>
        <c:axId val="192656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Cantidades ofrecidas por el mercado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568400"/>
        <c:crosses val="autoZero"/>
        <c:crossBetween val="midCat"/>
      </c:valAx>
      <c:valAx>
        <c:axId val="192656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Prrecio del mercaso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56648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Punto de equilibrio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Demanda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</c:spPr>
            <c:trendlineType val="linear"/>
            <c:dispRSqr val="0"/>
            <c:dispEq val="0"/>
          </c:trendline>
          <c:xVal>
            <c:numRef>
              <c:f>Equilibrio!$C$6:$C$10</c:f>
              <c:numCache>
                <c:formatCode>#,##0</c:formatCode>
                <c:ptCount val="5"/>
                <c:pt idx="0">
                  <c:v>3540.8776486999996</c:v>
                </c:pt>
                <c:pt idx="1">
                  <c:v>3768.8511546488007</c:v>
                </c:pt>
                <c:pt idx="2">
                  <c:v>4011.5023548222725</c:v>
                </c:pt>
                <c:pt idx="3">
                  <c:v>4269.7762481002464</c:v>
                </c:pt>
                <c:pt idx="4">
                  <c:v>4544.6786755404337</c:v>
                </c:pt>
              </c:numCache>
            </c:numRef>
          </c:xVal>
          <c:yVal>
            <c:numRef>
              <c:f>Equilibrio!$D$6:$D$10</c:f>
              <c:numCache>
                <c:formatCode>#,##0</c:formatCode>
                <c:ptCount val="5"/>
                <c:pt idx="0">
                  <c:v>49794.090474922872</c:v>
                </c:pt>
                <c:pt idx="1">
                  <c:v>46381.773808256214</c:v>
                </c:pt>
                <c:pt idx="2">
                  <c:v>42749.76082020066</c:v>
                </c:pt>
                <c:pt idx="3">
                  <c:v>38883.906729264127</c:v>
                </c:pt>
                <c:pt idx="4">
                  <c:v>34769.156065772797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9E-814A-A240-53933A1470F0}"/>
            </c:ext>
          </c:extLst>
        </c:ser>
        <c:ser>
          <c:idx val="1"/>
          <c:order val="1"/>
          <c:tx>
            <c:v>Oferta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</c:spPr>
            <c:trendlineType val="linear"/>
            <c:dispRSqr val="0"/>
            <c:dispEq val="0"/>
          </c:trendline>
          <c:xVal>
            <c:numRef>
              <c:f>Equilibrio!$E$6:$E$10</c:f>
              <c:numCache>
                <c:formatCode>#,##0</c:formatCode>
                <c:ptCount val="5"/>
                <c:pt idx="0">
                  <c:v>702.74180793599999</c:v>
                </c:pt>
                <c:pt idx="1">
                  <c:v>751.93373449152</c:v>
                </c:pt>
                <c:pt idx="2">
                  <c:v>804.56909590592647</c:v>
                </c:pt>
                <c:pt idx="3">
                  <c:v>860.8889326193414</c:v>
                </c:pt>
                <c:pt idx="4">
                  <c:v>921.15115790269533</c:v>
                </c:pt>
              </c:numCache>
            </c:numRef>
          </c:xVal>
          <c:yVal>
            <c:numRef>
              <c:f>Equilibrio!$F$6:$F$10</c:f>
              <c:numCache>
                <c:formatCode>#,##0</c:formatCode>
                <c:ptCount val="5"/>
                <c:pt idx="0">
                  <c:v>49532.710280373831</c:v>
                </c:pt>
                <c:pt idx="1">
                  <c:v>53000</c:v>
                </c:pt>
                <c:pt idx="2">
                  <c:v>56710.000000000007</c:v>
                </c:pt>
                <c:pt idx="3">
                  <c:v>60679.700000000012</c:v>
                </c:pt>
                <c:pt idx="4">
                  <c:v>64927.279000000017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9E-814A-A240-53933A147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71359"/>
        <c:axId val="94464287"/>
      </c:scatterChart>
      <c:valAx>
        <c:axId val="94471359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Cantidad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64287"/>
        <c:crosses val="autoZero"/>
        <c:crossBetween val="midCat"/>
      </c:valAx>
      <c:valAx>
        <c:axId val="9446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Precio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71359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Brecha</a:t>
            </a:r>
            <a:r>
              <a:rPr lang="es-CO" b="1" baseline="0"/>
              <a:t> Oferta y Demanda</a:t>
            </a:r>
            <a:endParaRPr lang="es-CO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'Brecha O-D'!$C$4</c:f>
              <c:strCache>
                <c:ptCount val="1"/>
                <c:pt idx="0">
                  <c:v>Demanda proyectada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'Brecha O-D'!$B$5:$B$9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'Brecha O-D'!$C$5:$C$9</c:f>
              <c:numCache>
                <c:formatCode>#,##0_ ;\-#,##0\ </c:formatCode>
                <c:ptCount val="5"/>
                <c:pt idx="0">
                  <c:v>6875.4905799999988</c:v>
                </c:pt>
                <c:pt idx="1">
                  <c:v>7318.1575818423316</c:v>
                </c:pt>
                <c:pt idx="2">
                  <c:v>7789.3249608199467</c:v>
                </c:pt>
                <c:pt idx="3">
                  <c:v>8290.8276662140706</c:v>
                </c:pt>
                <c:pt idx="4">
                  <c:v>8824.6187874571533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37-FF4B-ADD8-7BF7CBF16128}"/>
            </c:ext>
          </c:extLst>
        </c:ser>
        <c:ser>
          <c:idx val="1"/>
          <c:order val="1"/>
          <c:tx>
            <c:strRef>
              <c:f>'Brecha O-D'!$D$4</c:f>
              <c:strCache>
                <c:ptCount val="1"/>
                <c:pt idx="0">
                  <c:v>Oferta proyectada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'Brecha O-D'!$B$5:$B$9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'Brecha O-D'!$D$5:$D$9</c:f>
              <c:numCache>
                <c:formatCode>#,##0_ ;\-#,##0\ </c:formatCode>
                <c:ptCount val="5"/>
                <c:pt idx="0">
                  <c:v>702.74180793599999</c:v>
                </c:pt>
                <c:pt idx="1">
                  <c:v>751.93373449152</c:v>
                </c:pt>
                <c:pt idx="2">
                  <c:v>804.56909590592647</c:v>
                </c:pt>
                <c:pt idx="3">
                  <c:v>860.8889326193414</c:v>
                </c:pt>
                <c:pt idx="4">
                  <c:v>921.15115790269533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37-FF4B-ADD8-7BF7CBF16128}"/>
            </c:ext>
          </c:extLst>
        </c:ser>
        <c:ser>
          <c:idx val="2"/>
          <c:order val="2"/>
          <c:tx>
            <c:strRef>
              <c:f>'Brecha O-D'!$E$4</c:f>
              <c:strCache>
                <c:ptCount val="1"/>
                <c:pt idx="0">
                  <c:v>Brecha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'Brecha O-D'!$B$5:$B$9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'Brecha O-D'!$E$5:$E$9</c:f>
              <c:numCache>
                <c:formatCode>#,##0_ ;\-#,##0\ </c:formatCode>
                <c:ptCount val="5"/>
                <c:pt idx="0">
                  <c:v>6172.7487720639983</c:v>
                </c:pt>
                <c:pt idx="1">
                  <c:v>6566.2238473508114</c:v>
                </c:pt>
                <c:pt idx="2">
                  <c:v>6984.7558649140201</c:v>
                </c:pt>
                <c:pt idx="3">
                  <c:v>7429.9387335947295</c:v>
                </c:pt>
                <c:pt idx="4">
                  <c:v>7903.4676295544577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37-FF4B-ADD8-7BF7CBF16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272111"/>
        <c:axId val="562445855"/>
      </c:lineChart>
      <c:catAx>
        <c:axId val="567272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Período</a:t>
                </a:r>
                <a:endParaRPr lang="es-CO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445855"/>
        <c:crosses val="autoZero"/>
        <c:auto val="1"/>
        <c:lblAlgn val="ctr"/>
        <c:lblOffset val="100"/>
        <c:noMultiLvlLbl val="0"/>
      </c:catAx>
      <c:valAx>
        <c:axId val="5624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Cantidades</a:t>
                </a:r>
                <a:endParaRPr lang="es-CO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_ ;\-#,##0\ 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27211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rgbClr val="FF0000"/>
                </a:solidFill>
              </a:rPr>
              <a:t>Tamaño</a:t>
            </a:r>
            <a:r>
              <a:rPr lang="es-CO" baseline="0">
                <a:solidFill>
                  <a:srgbClr val="FF0000"/>
                </a:solidFill>
              </a:rPr>
              <a:t> del proyecto</a:t>
            </a:r>
            <a:endParaRPr lang="es-CO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Tamaño!$B$10:$B$14</c:f>
              <c:numCache>
                <c:formatCode>General</c:formatCode>
                <c:ptCount val="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</c:numRef>
          </c:xVal>
          <c:yVal>
            <c:numRef>
              <c:f>Tamaño!$C$10:$C$14</c:f>
              <c:numCache>
                <c:formatCode>#,##0</c:formatCode>
                <c:ptCount val="5"/>
                <c:pt idx="0">
                  <c:v>3081.6000000000004</c:v>
                </c:pt>
                <c:pt idx="1">
                  <c:v>3297.3120000000008</c:v>
                </c:pt>
                <c:pt idx="2">
                  <c:v>3528.1238400000011</c:v>
                </c:pt>
                <c:pt idx="3">
                  <c:v>3775.0925088000013</c:v>
                </c:pt>
                <c:pt idx="4">
                  <c:v>4039.3489844160017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2-3A43-AAFC-C776CA3CB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6473360"/>
        <c:axId val="1926483920"/>
      </c:scatterChart>
      <c:valAx>
        <c:axId val="192647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Período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483920"/>
        <c:crosses val="autoZero"/>
        <c:crossBetween val="midCat"/>
      </c:valAx>
      <c:valAx>
        <c:axId val="192648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>
                    <a:solidFill>
                      <a:srgbClr val="FF0000"/>
                    </a:solidFill>
                  </a:rPr>
                  <a:t>Cantidades ofrecidas por</a:t>
                </a:r>
                <a:r>
                  <a:rPr lang="es-CO" baseline="0">
                    <a:solidFill>
                      <a:srgbClr val="FF0000"/>
                    </a:solidFill>
                  </a:rPr>
                  <a:t> proyecto</a:t>
                </a:r>
                <a:endParaRPr lang="es-CO">
                  <a:solidFill>
                    <a:srgbClr val="FF0000"/>
                  </a:solidFill>
                </a:endParaRP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47336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504825</xdr:colOff>
      <xdr:row>9</xdr:row>
      <xdr:rowOff>771525</xdr:rowOff>
    </xdr:from>
    <xdr:to>
      <xdr:col>23</xdr:col>
      <xdr:colOff>239683</xdr:colOff>
      <xdr:row>29</xdr:row>
      <xdr:rowOff>86746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96475" y="2486025"/>
          <a:ext cx="11164858" cy="73162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581025</xdr:colOff>
      <xdr:row>30</xdr:row>
      <xdr:rowOff>142875</xdr:rowOff>
    </xdr:from>
    <xdr:to>
      <xdr:col>14</xdr:col>
      <xdr:colOff>10083</xdr:colOff>
      <xdr:row>43</xdr:row>
      <xdr:rowOff>162273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72675" y="10048875"/>
          <a:ext cx="4001058" cy="249589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600075</xdr:colOff>
      <xdr:row>44</xdr:row>
      <xdr:rowOff>76200</xdr:rowOff>
    </xdr:from>
    <xdr:to>
      <xdr:col>14</xdr:col>
      <xdr:colOff>29133</xdr:colOff>
      <xdr:row>58</xdr:row>
      <xdr:rowOff>171836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91725" y="12649200"/>
          <a:ext cx="4001058" cy="2762636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704850</xdr:colOff>
      <xdr:row>12</xdr:row>
      <xdr:rowOff>0</xdr:rowOff>
    </xdr:from>
    <xdr:to>
      <xdr:col>4</xdr:col>
      <xdr:colOff>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11</xdr:row>
      <xdr:rowOff>190499</xdr:rowOff>
    </xdr:from>
    <xdr:to>
      <xdr:col>8</xdr:col>
      <xdr:colOff>9525</xdr:colOff>
      <xdr:row>22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19051</xdr:colOff>
      <xdr:row>12</xdr:row>
      <xdr:rowOff>9525</xdr:rowOff>
    </xdr:from>
    <xdr:to>
      <xdr:col>12</xdr:col>
      <xdr:colOff>19051</xdr:colOff>
      <xdr:row>22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12</xdr:row>
      <xdr:rowOff>0</xdr:rowOff>
    </xdr:from>
    <xdr:to>
      <xdr:col>16</xdr:col>
      <xdr:colOff>0</xdr:colOff>
      <xdr:row>22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427296</xdr:colOff>
      <xdr:row>0</xdr:row>
      <xdr:rowOff>21044</xdr:rowOff>
    </xdr:from>
    <xdr:to>
      <xdr:col>10</xdr:col>
      <xdr:colOff>363279</xdr:colOff>
      <xdr:row>7</xdr:row>
      <xdr:rowOff>699977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228600</xdr:colOff>
      <xdr:row>16</xdr:row>
      <xdr:rowOff>171450</xdr:rowOff>
    </xdr:from>
    <xdr:to>
      <xdr:col>12</xdr:col>
      <xdr:colOff>295275</xdr:colOff>
      <xdr:row>30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209550</xdr:colOff>
      <xdr:row>32</xdr:row>
      <xdr:rowOff>119062</xdr:rowOff>
    </xdr:from>
    <xdr:to>
      <xdr:col>14</xdr:col>
      <xdr:colOff>95250</xdr:colOff>
      <xdr:row>47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37215</xdr:colOff>
      <xdr:row>3</xdr:row>
      <xdr:rowOff>173666</xdr:rowOff>
    </xdr:from>
    <xdr:to>
      <xdr:col>13</xdr:col>
      <xdr:colOff>698427</xdr:colOff>
      <xdr:row>9</xdr:row>
      <xdr:rowOff>576596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438150</xdr:colOff>
      <xdr:row>20</xdr:row>
      <xdr:rowOff>252412</xdr:rowOff>
    </xdr:from>
    <xdr:to>
      <xdr:col>12</xdr:col>
      <xdr:colOff>390525</xdr:colOff>
      <xdr:row>34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2</xdr:row>
      <xdr:rowOff>66675</xdr:rowOff>
    </xdr:from>
    <xdr:to>
      <xdr:col>12</xdr:col>
      <xdr:colOff>228600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561975</xdr:colOff>
      <xdr:row>3</xdr:row>
      <xdr:rowOff>0</xdr:rowOff>
    </xdr:from>
    <xdr:to>
      <xdr:col>12</xdr:col>
      <xdr:colOff>180975</xdr:colOff>
      <xdr:row>14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1</xdr:row>
      <xdr:rowOff>157162</xdr:rowOff>
    </xdr:from>
    <xdr:to>
      <xdr:col>13</xdr:col>
      <xdr:colOff>447675</xdr:colOff>
      <xdr:row>15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1</xdr:row>
      <xdr:rowOff>0</xdr:rowOff>
    </xdr:from>
    <xdr:to>
      <xdr:col>13</xdr:col>
      <xdr:colOff>658360</xdr:colOff>
      <xdr:row>14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6950" y="190500"/>
          <a:ext cx="5535160" cy="27527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uperfinanciera.gov.co/powerbi/reportes/533/483" TargetMode="External"/><Relationship Id="rId2" Type="http://schemas.openxmlformats.org/officeDocument/2006/relationships/hyperlink" Target="https://pages.stern.nyu.edu/~adamodar/New_Home_Page/datafile/Betas.html" TargetMode="External"/><Relationship Id="rId1" Type="http://schemas.openxmlformats.org/officeDocument/2006/relationships/hyperlink" Target="https://taxsummaries.pwc.com/colombia/corporate/taxes-on-corporate-income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www.superfinanciera.gov.co/publicaciones/10115702/superfinanciera-certifica-el-interes-bancario-corriente/" TargetMode="External"/><Relationship Id="rId4" Type="http://schemas.openxmlformats.org/officeDocument/2006/relationships/hyperlink" Target="https://actualicese.com/tarifa-general-del-impuesto-de-renta-2025-para-personas-juridicas/?srsltid=AfmBOoocjb24t_woY6WSveRQe_wP5glW6kbiXNnaLv8yNf7dhqO51T-P&amp;ut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58"/>
  <sheetViews>
    <sheetView tabSelected="1" zoomScale="140" zoomScaleNormal="140" workbookViewId="0">
      <selection activeCell="F28" sqref="F28"/>
    </sheetView>
  </sheetViews>
  <sheetFormatPr baseColWidth="10" defaultRowHeight="15" x14ac:dyDescent="0.2"/>
  <cols>
    <col min="2" max="4" width="37.1640625" customWidth="1"/>
    <col min="7" max="7" width="16.5" bestFit="1" customWidth="1"/>
    <col min="8" max="8" width="23.1640625" bestFit="1" customWidth="1"/>
    <col min="9" max="9" width="21.5" bestFit="1" customWidth="1"/>
    <col min="10" max="10" width="15.83203125" bestFit="1" customWidth="1"/>
    <col min="12" max="12" width="14.33203125" bestFit="1" customWidth="1"/>
  </cols>
  <sheetData>
    <row r="2" spans="2:13" ht="24" customHeight="1" x14ac:dyDescent="0.2">
      <c r="B2" s="235" t="s">
        <v>0</v>
      </c>
      <c r="C2" s="236"/>
      <c r="D2" s="228"/>
      <c r="F2" s="235" t="s">
        <v>1</v>
      </c>
      <c r="G2" s="236"/>
      <c r="H2" s="236"/>
      <c r="I2" s="236"/>
      <c r="J2" s="236"/>
      <c r="K2" s="228"/>
      <c r="M2" t="s">
        <v>2</v>
      </c>
    </row>
    <row r="3" spans="2:13" ht="16" customHeight="1" x14ac:dyDescent="0.2">
      <c r="B3" s="227" t="s">
        <v>3</v>
      </c>
      <c r="C3" s="236"/>
      <c r="D3" s="228"/>
      <c r="F3" s="38" t="s">
        <v>4</v>
      </c>
      <c r="G3" s="206" t="s">
        <v>5</v>
      </c>
      <c r="H3" s="206" t="s">
        <v>6</v>
      </c>
      <c r="I3" s="206" t="s">
        <v>7</v>
      </c>
      <c r="J3" s="206" t="s">
        <v>8</v>
      </c>
      <c r="K3" s="206" t="s">
        <v>9</v>
      </c>
    </row>
    <row r="4" spans="2:13" x14ac:dyDescent="0.2">
      <c r="B4" s="183" t="s">
        <v>10</v>
      </c>
      <c r="C4" s="183" t="s">
        <v>11</v>
      </c>
      <c r="D4" s="185">
        <f>'Flujo de Caja'!C30</f>
        <v>78563501.361000001</v>
      </c>
      <c r="F4" s="209">
        <v>1</v>
      </c>
      <c r="G4" s="210">
        <v>0</v>
      </c>
      <c r="H4" s="210">
        <v>1</v>
      </c>
      <c r="I4" s="218">
        <f>'Datos Bancolombia'!$B$18</f>
        <v>0.15899000000000002</v>
      </c>
      <c r="J4" s="218">
        <f>'Datos Bancolombia'!$B$16</f>
        <v>0.14287893925</v>
      </c>
      <c r="K4" s="218">
        <f t="shared" ref="K4:K24" si="0">H4*J4+G4*I4</f>
        <v>0.14287893925</v>
      </c>
      <c r="L4" s="204"/>
    </row>
    <row r="5" spans="2:13" x14ac:dyDescent="0.2">
      <c r="B5" s="183" t="s">
        <v>12</v>
      </c>
      <c r="C5" s="183" t="s">
        <v>13</v>
      </c>
      <c r="D5" s="185">
        <f>'Flujo de Caja'!C31</f>
        <v>52375667.574000001</v>
      </c>
      <c r="F5" s="38">
        <v>2</v>
      </c>
      <c r="G5" s="208">
        <v>0.05</v>
      </c>
      <c r="H5" s="208">
        <v>0.95</v>
      </c>
      <c r="I5" s="218">
        <f>'Datos Bancolombia'!$B$18</f>
        <v>0.15899000000000002</v>
      </c>
      <c r="J5" s="218">
        <f>'Datos Bancolombia'!$B$16</f>
        <v>0.14287893925</v>
      </c>
      <c r="K5" s="218">
        <f t="shared" si="0"/>
        <v>0.14368449228749999</v>
      </c>
      <c r="L5" s="204"/>
      <c r="M5" t="s">
        <v>14</v>
      </c>
    </row>
    <row r="6" spans="2:13" x14ac:dyDescent="0.2">
      <c r="B6" s="183" t="s">
        <v>15</v>
      </c>
      <c r="C6" s="183" t="s">
        <v>16</v>
      </c>
      <c r="D6" s="185">
        <f>D4+D5</f>
        <v>130939168.935</v>
      </c>
      <c r="F6" s="38">
        <v>3</v>
      </c>
      <c r="G6" s="208">
        <v>0.1</v>
      </c>
      <c r="H6" s="208">
        <v>0.9</v>
      </c>
      <c r="I6" s="218">
        <f>'Datos Bancolombia'!$B$18</f>
        <v>0.15899000000000002</v>
      </c>
      <c r="J6" s="218">
        <f>'Datos Bancolombia'!$B$16</f>
        <v>0.14287893925</v>
      </c>
      <c r="K6" s="218">
        <f t="shared" si="0"/>
        <v>0.14449004532500001</v>
      </c>
      <c r="L6" s="204"/>
      <c r="M6" s="204"/>
    </row>
    <row r="7" spans="2:13" x14ac:dyDescent="0.2">
      <c r="B7" s="183" t="s">
        <v>17</v>
      </c>
      <c r="C7" s="183" t="s">
        <v>18</v>
      </c>
      <c r="D7" s="198">
        <f>D4/D6</f>
        <v>0.6</v>
      </c>
      <c r="F7" s="38">
        <v>4</v>
      </c>
      <c r="G7" s="208">
        <v>0.15</v>
      </c>
      <c r="H7" s="208">
        <v>0.85</v>
      </c>
      <c r="I7" s="218">
        <f>'Datos Bancolombia'!$B$18</f>
        <v>0.15899000000000002</v>
      </c>
      <c r="J7" s="218">
        <f>'Datos Bancolombia'!$B$16</f>
        <v>0.14287893925</v>
      </c>
      <c r="K7" s="218">
        <f t="shared" si="0"/>
        <v>0.1452955983625</v>
      </c>
      <c r="L7" s="204"/>
      <c r="M7" s="204"/>
    </row>
    <row r="8" spans="2:13" x14ac:dyDescent="0.2">
      <c r="B8" s="183" t="s">
        <v>19</v>
      </c>
      <c r="C8" s="183" t="s">
        <v>20</v>
      </c>
      <c r="D8" s="198">
        <f>D5/D6</f>
        <v>0.4</v>
      </c>
      <c r="F8" s="38">
        <v>5</v>
      </c>
      <c r="G8" s="208">
        <v>0.2</v>
      </c>
      <c r="H8" s="208">
        <v>0.8</v>
      </c>
      <c r="I8" s="218">
        <f>'Datos Bancolombia'!$B$18</f>
        <v>0.15899000000000002</v>
      </c>
      <c r="J8" s="218">
        <f>'Datos Bancolombia'!$B$16</f>
        <v>0.14287893925</v>
      </c>
      <c r="K8" s="218">
        <f t="shared" si="0"/>
        <v>0.14610115140000002</v>
      </c>
      <c r="L8" s="204"/>
      <c r="M8" s="204"/>
    </row>
    <row r="9" spans="2:13" x14ac:dyDescent="0.2">
      <c r="B9" s="183" t="s">
        <v>21</v>
      </c>
      <c r="C9" s="183" t="s">
        <v>22</v>
      </c>
      <c r="D9" s="199">
        <v>0.25</v>
      </c>
      <c r="F9" s="207">
        <v>6</v>
      </c>
      <c r="G9" s="208">
        <v>0.25</v>
      </c>
      <c r="H9" s="208">
        <v>0.75</v>
      </c>
      <c r="I9" s="218">
        <f>'Datos Bancolombia'!$B$18</f>
        <v>0.15899000000000002</v>
      </c>
      <c r="J9" s="218">
        <f>'Datos Bancolombia'!$B$16</f>
        <v>0.14287893925</v>
      </c>
      <c r="K9" s="218">
        <f t="shared" si="0"/>
        <v>0.14690670443750001</v>
      </c>
      <c r="L9" s="204"/>
      <c r="M9" s="204"/>
    </row>
    <row r="10" spans="2:13" x14ac:dyDescent="0.2">
      <c r="B10" s="183" t="s">
        <v>23</v>
      </c>
      <c r="C10" s="183" t="s">
        <v>24</v>
      </c>
      <c r="D10" s="199">
        <v>0.35</v>
      </c>
      <c r="F10" s="38">
        <v>7</v>
      </c>
      <c r="G10" s="208">
        <v>0.3</v>
      </c>
      <c r="H10" s="208">
        <v>0.7</v>
      </c>
      <c r="I10" s="218">
        <f>'Datos Bancolombia'!$B$18</f>
        <v>0.15899000000000002</v>
      </c>
      <c r="J10" s="218">
        <f>'Datos Bancolombia'!$B$16</f>
        <v>0.14287893925</v>
      </c>
      <c r="K10" s="218">
        <f t="shared" si="0"/>
        <v>0.147712257475</v>
      </c>
      <c r="L10" s="204"/>
      <c r="M10" s="204"/>
    </row>
    <row r="11" spans="2:13" x14ac:dyDescent="0.2">
      <c r="B11" s="183" t="s">
        <v>25</v>
      </c>
      <c r="C11" s="183" t="s">
        <v>26</v>
      </c>
      <c r="D11" s="199">
        <f>D9*(1-D10)</f>
        <v>0.16250000000000001</v>
      </c>
      <c r="F11" s="38">
        <v>8</v>
      </c>
      <c r="G11" s="208">
        <v>0.35</v>
      </c>
      <c r="H11" s="208">
        <v>0.65</v>
      </c>
      <c r="I11" s="218">
        <f>'Datos Bancolombia'!$B$18</f>
        <v>0.15899000000000002</v>
      </c>
      <c r="J11" s="218">
        <f>'Datos Bancolombia'!$B$16</f>
        <v>0.14287893925</v>
      </c>
      <c r="K11" s="218">
        <f t="shared" si="0"/>
        <v>0.14851781051250001</v>
      </c>
      <c r="L11" s="204"/>
      <c r="M11" s="204"/>
    </row>
    <row r="12" spans="2:13" x14ac:dyDescent="0.2">
      <c r="B12" s="183" t="s">
        <v>27</v>
      </c>
      <c r="C12" s="183" t="s">
        <v>28</v>
      </c>
      <c r="D12" s="199">
        <v>0.3</v>
      </c>
      <c r="F12" s="38">
        <v>9</v>
      </c>
      <c r="G12" s="208">
        <v>0.4</v>
      </c>
      <c r="H12" s="208">
        <v>0.6</v>
      </c>
      <c r="I12" s="218">
        <f>'Datos Bancolombia'!$B$18</f>
        <v>0.15899000000000002</v>
      </c>
      <c r="J12" s="218">
        <f>'Datos Bancolombia'!$B$16</f>
        <v>0.14287893925</v>
      </c>
      <c r="K12" s="218">
        <f t="shared" si="0"/>
        <v>0.14932336355000003</v>
      </c>
      <c r="L12" s="204"/>
      <c r="M12" s="204"/>
    </row>
    <row r="13" spans="2:13" x14ac:dyDescent="0.2">
      <c r="B13" s="237" t="s">
        <v>29</v>
      </c>
      <c r="C13" s="228"/>
      <c r="D13" s="201">
        <f>D8*D12 + D7*D11</f>
        <v>0.2175</v>
      </c>
      <c r="F13" s="38">
        <v>10</v>
      </c>
      <c r="G13" s="208">
        <v>0.45</v>
      </c>
      <c r="H13" s="208">
        <v>0.55000000000000004</v>
      </c>
      <c r="I13" s="218">
        <f>'Datos Bancolombia'!$B$18</f>
        <v>0.15899000000000002</v>
      </c>
      <c r="J13" s="218">
        <f>'Datos Bancolombia'!$B$16</f>
        <v>0.14287893925</v>
      </c>
      <c r="K13" s="218">
        <f t="shared" si="0"/>
        <v>0.15012891658750002</v>
      </c>
      <c r="L13" s="204"/>
      <c r="M13" s="204"/>
    </row>
    <row r="14" spans="2:13" x14ac:dyDescent="0.2">
      <c r="F14" s="207">
        <v>11</v>
      </c>
      <c r="G14" s="208">
        <v>0.5</v>
      </c>
      <c r="H14" s="208">
        <v>0.5</v>
      </c>
      <c r="I14" s="218">
        <f>'Datos Bancolombia'!$B$18</f>
        <v>0.15899000000000002</v>
      </c>
      <c r="J14" s="218">
        <f>'Datos Bancolombia'!$B$16</f>
        <v>0.14287893925</v>
      </c>
      <c r="K14" s="218">
        <f t="shared" si="0"/>
        <v>0.15093446962500001</v>
      </c>
      <c r="L14" s="204"/>
      <c r="M14" s="204"/>
    </row>
    <row r="15" spans="2:13" x14ac:dyDescent="0.2">
      <c r="B15" s="227" t="s">
        <v>30</v>
      </c>
      <c r="C15" s="236"/>
      <c r="D15" s="228"/>
      <c r="F15" s="38">
        <v>12</v>
      </c>
      <c r="G15" s="208">
        <v>0.55000000000000004</v>
      </c>
      <c r="H15" s="208">
        <v>0.45</v>
      </c>
      <c r="I15" s="218">
        <f>'Datos Bancolombia'!$B$18</f>
        <v>0.15899000000000002</v>
      </c>
      <c r="J15" s="218">
        <f>'Datos Bancolombia'!$B$16</f>
        <v>0.14287893925</v>
      </c>
      <c r="K15" s="218">
        <f t="shared" si="0"/>
        <v>0.15174002266250003</v>
      </c>
      <c r="L15" s="204"/>
      <c r="M15" s="204"/>
    </row>
    <row r="16" spans="2:13" x14ac:dyDescent="0.2">
      <c r="B16" s="183" t="s">
        <v>31</v>
      </c>
      <c r="C16" s="183" t="s">
        <v>32</v>
      </c>
      <c r="D16" s="199">
        <v>0.11393</v>
      </c>
      <c r="F16" s="38">
        <v>13</v>
      </c>
      <c r="G16" s="208">
        <v>0.6</v>
      </c>
      <c r="H16" s="208">
        <v>0.39999999999999902</v>
      </c>
      <c r="I16" s="218">
        <f>'Datos Bancolombia'!$B$18</f>
        <v>0.15899000000000002</v>
      </c>
      <c r="J16" s="218">
        <f>'Datos Bancolombia'!$B$16</f>
        <v>0.14287893925</v>
      </c>
      <c r="K16" s="218">
        <f t="shared" si="0"/>
        <v>0.15254557569999988</v>
      </c>
      <c r="L16" s="204"/>
      <c r="M16" s="204"/>
    </row>
    <row r="17" spans="2:16" x14ac:dyDescent="0.2">
      <c r="B17" s="183" t="s">
        <v>33</v>
      </c>
      <c r="C17" s="183" t="s">
        <v>34</v>
      </c>
      <c r="D17" s="199">
        <v>0.08</v>
      </c>
      <c r="F17" s="38">
        <v>14</v>
      </c>
      <c r="G17" s="208">
        <v>0.65</v>
      </c>
      <c r="H17" s="208">
        <v>0.34999999999999898</v>
      </c>
      <c r="I17" s="218">
        <f>'Datos Bancolombia'!$B$18</f>
        <v>0.15899000000000002</v>
      </c>
      <c r="J17" s="218">
        <f>'Datos Bancolombia'!$B$16</f>
        <v>0.14287893925</v>
      </c>
      <c r="K17" s="218">
        <f t="shared" si="0"/>
        <v>0.15335112873749987</v>
      </c>
      <c r="L17" s="204"/>
      <c r="M17" s="204"/>
    </row>
    <row r="18" spans="2:16" x14ac:dyDescent="0.2">
      <c r="B18" s="183" t="s">
        <v>35</v>
      </c>
      <c r="C18" s="183" t="s">
        <v>36</v>
      </c>
      <c r="D18" s="199">
        <v>0.03</v>
      </c>
      <c r="F18" s="38">
        <v>15</v>
      </c>
      <c r="G18" s="208">
        <v>0.7</v>
      </c>
      <c r="H18" s="208">
        <v>0.29999999999999899</v>
      </c>
      <c r="I18" s="218">
        <f>'Datos Bancolombia'!$B$18</f>
        <v>0.15899000000000002</v>
      </c>
      <c r="J18" s="218">
        <f>'Datos Bancolombia'!$B$16</f>
        <v>0.14287893925</v>
      </c>
      <c r="K18" s="218">
        <f t="shared" si="0"/>
        <v>0.15415668177499986</v>
      </c>
      <c r="L18" s="204"/>
      <c r="M18" s="204"/>
    </row>
    <row r="19" spans="2:16" x14ac:dyDescent="0.2">
      <c r="B19" s="183" t="s">
        <v>37</v>
      </c>
      <c r="C19" s="183" t="s">
        <v>38</v>
      </c>
      <c r="D19" s="183">
        <v>1.1000000000000001</v>
      </c>
      <c r="F19" s="207">
        <v>16</v>
      </c>
      <c r="G19" s="208">
        <v>0.75</v>
      </c>
      <c r="H19" s="208">
        <v>0.249999999999999</v>
      </c>
      <c r="I19" s="218">
        <f>'Datos Bancolombia'!$B$18</f>
        <v>0.15899000000000002</v>
      </c>
      <c r="J19" s="218">
        <f>'Datos Bancolombia'!$B$16</f>
        <v>0.14287893925</v>
      </c>
      <c r="K19" s="218">
        <f t="shared" si="0"/>
        <v>0.15496223481249988</v>
      </c>
      <c r="L19" s="204"/>
      <c r="M19" s="204"/>
    </row>
    <row r="20" spans="2:16" x14ac:dyDescent="0.2">
      <c r="B20" s="183" t="s">
        <v>39</v>
      </c>
      <c r="C20" s="183" t="s">
        <v>40</v>
      </c>
      <c r="D20" s="183">
        <f>D4/D5</f>
        <v>1.5</v>
      </c>
      <c r="F20" s="38">
        <v>17</v>
      </c>
      <c r="G20" s="208">
        <v>0.8</v>
      </c>
      <c r="H20" s="208">
        <v>0.19999999999999901</v>
      </c>
      <c r="I20" s="218">
        <f>'Datos Bancolombia'!$B$18</f>
        <v>0.15899000000000002</v>
      </c>
      <c r="J20" s="218">
        <f>'Datos Bancolombia'!$B$16</f>
        <v>0.14287893925</v>
      </c>
      <c r="K20" s="218">
        <f t="shared" si="0"/>
        <v>0.15576778784999989</v>
      </c>
      <c r="L20" s="204"/>
      <c r="M20" s="204"/>
    </row>
    <row r="21" spans="2:16" x14ac:dyDescent="0.2">
      <c r="B21" s="183" t="s">
        <v>41</v>
      </c>
      <c r="C21" s="183" t="s">
        <v>42</v>
      </c>
      <c r="D21" s="183">
        <f>D19*(1+(1-D10)*D20)</f>
        <v>2.1725000000000003</v>
      </c>
      <c r="F21" s="38">
        <v>18</v>
      </c>
      <c r="G21" s="208">
        <v>0.85</v>
      </c>
      <c r="H21" s="208">
        <v>0.149999999999999</v>
      </c>
      <c r="I21" s="218">
        <f>'Datos Bancolombia'!$B$18</f>
        <v>0.15899000000000002</v>
      </c>
      <c r="J21" s="218">
        <f>'Datos Bancolombia'!$B$16</f>
        <v>0.14287893925</v>
      </c>
      <c r="K21" s="218">
        <f t="shared" si="0"/>
        <v>0.15657334088749988</v>
      </c>
      <c r="L21" s="204"/>
      <c r="M21" s="204"/>
    </row>
    <row r="22" spans="2:16" x14ac:dyDescent="0.2">
      <c r="B22" s="183" t="s">
        <v>43</v>
      </c>
      <c r="C22" s="183" t="s">
        <v>44</v>
      </c>
      <c r="D22" s="199">
        <f>D16 + D21*D17 + D18</f>
        <v>0.31773000000000007</v>
      </c>
      <c r="F22" s="38">
        <v>19</v>
      </c>
      <c r="G22" s="208">
        <v>0.9</v>
      </c>
      <c r="H22" s="208">
        <v>9.9999999999999006E-2</v>
      </c>
      <c r="I22" s="218">
        <f>'Datos Bancolombia'!$B$18</f>
        <v>0.15899000000000002</v>
      </c>
      <c r="J22" s="218">
        <f>'Datos Bancolombia'!$B$16</f>
        <v>0.14287893925</v>
      </c>
      <c r="K22" s="218">
        <f t="shared" si="0"/>
        <v>0.15737889392499987</v>
      </c>
      <c r="L22" s="204"/>
      <c r="M22" s="204"/>
    </row>
    <row r="23" spans="2:16" x14ac:dyDescent="0.2">
      <c r="B23" s="183" t="s">
        <v>45</v>
      </c>
      <c r="C23" s="183"/>
      <c r="D23" s="199">
        <f>'Flujo de Caja'!C97</f>
        <v>0.30562489221313555</v>
      </c>
      <c r="F23" s="38">
        <v>20</v>
      </c>
      <c r="G23" s="208">
        <v>0.95</v>
      </c>
      <c r="H23" s="208">
        <v>4.9999999999998997E-2</v>
      </c>
      <c r="I23" s="218">
        <f>'Datos Bancolombia'!$B$18</f>
        <v>0.15899000000000002</v>
      </c>
      <c r="J23" s="218">
        <f>'Datos Bancolombia'!$B$16</f>
        <v>0.14287893925</v>
      </c>
      <c r="K23" s="218">
        <f t="shared" si="0"/>
        <v>0.15818444696249989</v>
      </c>
      <c r="L23" s="204"/>
      <c r="M23" s="204"/>
    </row>
    <row r="24" spans="2:16" x14ac:dyDescent="0.2">
      <c r="F24" s="207">
        <v>21</v>
      </c>
      <c r="G24" s="208">
        <v>1</v>
      </c>
      <c r="H24" s="208">
        <v>0</v>
      </c>
      <c r="I24" s="218">
        <f>'Datos Bancolombia'!$B$18</f>
        <v>0.15899000000000002</v>
      </c>
      <c r="J24" s="218">
        <f>'Datos Bancolombia'!$B$16</f>
        <v>0.14287893925</v>
      </c>
      <c r="K24" s="218">
        <f t="shared" si="0"/>
        <v>0.15899000000000002</v>
      </c>
      <c r="L24" s="204"/>
      <c r="M24" s="204"/>
    </row>
    <row r="25" spans="2:16" x14ac:dyDescent="0.2">
      <c r="B25" s="227" t="s">
        <v>46</v>
      </c>
      <c r="C25" s="236"/>
      <c r="D25" s="228"/>
      <c r="F25" s="54"/>
      <c r="G25" s="205"/>
      <c r="H25" s="205"/>
      <c r="I25" s="204"/>
      <c r="J25" s="204"/>
      <c r="K25" s="204"/>
      <c r="L25" s="204"/>
      <c r="M25" s="204"/>
    </row>
    <row r="26" spans="2:16" x14ac:dyDescent="0.2">
      <c r="B26" s="202" t="s">
        <v>47</v>
      </c>
      <c r="C26" s="202" t="s">
        <v>48</v>
      </c>
      <c r="D26" s="202" t="s">
        <v>49</v>
      </c>
    </row>
    <row r="27" spans="2:16" x14ac:dyDescent="0.2">
      <c r="B27" s="183">
        <v>0</v>
      </c>
      <c r="C27" s="185">
        <v>-130939169</v>
      </c>
      <c r="D27" s="185">
        <f>C27</f>
        <v>-130939169</v>
      </c>
    </row>
    <row r="28" spans="2:16" x14ac:dyDescent="0.2">
      <c r="B28" s="183">
        <v>1</v>
      </c>
      <c r="C28" s="185">
        <v>43752455</v>
      </c>
      <c r="D28" s="185">
        <f>C28/(1+$D$13)^1</f>
        <v>35936308.00821355</v>
      </c>
    </row>
    <row r="29" spans="2:16" x14ac:dyDescent="0.2">
      <c r="B29" s="183">
        <v>2</v>
      </c>
      <c r="C29" s="185">
        <v>54985854</v>
      </c>
      <c r="D29" s="185">
        <f>C29/(1+$D$13)^2</f>
        <v>37094800.079268366</v>
      </c>
    </row>
    <row r="30" spans="2:16" ht="15" customHeight="1" x14ac:dyDescent="0.2">
      <c r="B30" s="183">
        <v>3</v>
      </c>
      <c r="C30" s="185">
        <v>68076597</v>
      </c>
      <c r="D30" s="185">
        <f>C30/(1+$D$13)^3</f>
        <v>37721671.48625154</v>
      </c>
      <c r="H30" t="s">
        <v>50</v>
      </c>
      <c r="I30" t="s">
        <v>51</v>
      </c>
      <c r="K30" s="229"/>
      <c r="L30" s="230"/>
      <c r="M30" s="230"/>
      <c r="N30" s="230"/>
      <c r="O30" s="230"/>
      <c r="P30" s="231"/>
    </row>
    <row r="31" spans="2:16" x14ac:dyDescent="0.2">
      <c r="B31" s="183">
        <v>4</v>
      </c>
      <c r="C31" s="185">
        <v>83248039</v>
      </c>
      <c r="D31" s="185">
        <f>C31/(1+$D$13)^4</f>
        <v>37887690.451287746</v>
      </c>
      <c r="H31" s="219">
        <f>IRR(C27:C32)</f>
        <v>0.37906230306502753</v>
      </c>
      <c r="I31" s="219">
        <f>IRR(D27:D32)</f>
        <v>0.13270004358523835</v>
      </c>
      <c r="K31" s="232"/>
      <c r="L31" s="233"/>
      <c r="M31" s="233"/>
      <c r="N31" s="233"/>
      <c r="O31" s="233"/>
      <c r="P31" s="234"/>
    </row>
    <row r="32" spans="2:16" x14ac:dyDescent="0.2">
      <c r="B32" s="183">
        <v>5</v>
      </c>
      <c r="C32" s="185">
        <v>106380538</v>
      </c>
      <c r="D32" s="185">
        <f>C32/(1+$D$13)^5</f>
        <v>39766496.717586055</v>
      </c>
    </row>
    <row r="33" spans="2:11" x14ac:dyDescent="0.2">
      <c r="B33" s="227" t="s">
        <v>52</v>
      </c>
      <c r="C33" s="228"/>
      <c r="D33" s="200">
        <f>SUM(D27:D32)</f>
        <v>57467797.742607258</v>
      </c>
    </row>
    <row r="34" spans="2:11" x14ac:dyDescent="0.2">
      <c r="B34" s="227" t="s">
        <v>53</v>
      </c>
      <c r="C34" s="228"/>
      <c r="D34" s="203">
        <f>'Flujo de Caja'!C70-D33</f>
        <v>0.7126561775803566</v>
      </c>
      <c r="H34" t="s">
        <v>54</v>
      </c>
      <c r="I34" t="s">
        <v>55</v>
      </c>
      <c r="J34" t="s">
        <v>9</v>
      </c>
      <c r="K34" t="s">
        <v>56</v>
      </c>
    </row>
    <row r="35" spans="2:11" x14ac:dyDescent="0.2">
      <c r="H35" t="s">
        <v>54</v>
      </c>
      <c r="I35" t="s">
        <v>57</v>
      </c>
      <c r="J35" t="s">
        <v>9</v>
      </c>
      <c r="K35" t="s">
        <v>58</v>
      </c>
    </row>
    <row r="36" spans="2:11" x14ac:dyDescent="0.2">
      <c r="B36" s="238" t="s">
        <v>59</v>
      </c>
      <c r="C36" s="239"/>
      <c r="D36" s="239"/>
      <c r="E36" s="239"/>
    </row>
    <row r="38" spans="2:11" x14ac:dyDescent="0.2">
      <c r="B38" s="225" t="s">
        <v>60</v>
      </c>
      <c r="C38" s="226"/>
    </row>
    <row r="39" spans="2:11" x14ac:dyDescent="0.2">
      <c r="B39" t="s">
        <v>61</v>
      </c>
      <c r="C39" s="223">
        <f>D13</f>
        <v>0.2175</v>
      </c>
      <c r="D39" t="s">
        <v>62</v>
      </c>
      <c r="E39" t="s">
        <v>63</v>
      </c>
    </row>
    <row r="40" spans="2:11" x14ac:dyDescent="0.2">
      <c r="B40" t="s">
        <v>64</v>
      </c>
      <c r="C40" s="222">
        <f>'Flujo de Caja'!C70</f>
        <v>57467798.455263436</v>
      </c>
      <c r="D40" t="s">
        <v>65</v>
      </c>
      <c r="E40" t="s">
        <v>66</v>
      </c>
    </row>
    <row r="41" spans="2:11" x14ac:dyDescent="0.2">
      <c r="B41" t="s">
        <v>67</v>
      </c>
      <c r="C41" s="223">
        <f>'Flujo de Caja'!C71</f>
        <v>0.37906230521412798</v>
      </c>
      <c r="D41" t="s">
        <v>62</v>
      </c>
      <c r="E41" t="s">
        <v>68</v>
      </c>
    </row>
    <row r="42" spans="2:11" x14ac:dyDescent="0.2">
      <c r="B42" t="s">
        <v>69</v>
      </c>
      <c r="C42" s="223">
        <f>'Flujo de Caja'!C72</f>
        <v>0.16156230521412798</v>
      </c>
      <c r="D42" t="s">
        <v>62</v>
      </c>
      <c r="E42" t="s">
        <v>70</v>
      </c>
    </row>
    <row r="43" spans="2:11" x14ac:dyDescent="0.2">
      <c r="B43" t="s">
        <v>71</v>
      </c>
      <c r="C43" s="223">
        <f>MIRR(C27:C32,D13,D13)</f>
        <v>0.30940635796339744</v>
      </c>
      <c r="D43" t="s">
        <v>62</v>
      </c>
      <c r="E43" t="s">
        <v>72</v>
      </c>
    </row>
    <row r="45" spans="2:11" x14ac:dyDescent="0.2">
      <c r="B45" t="s">
        <v>73</v>
      </c>
      <c r="C45" s="222">
        <f>-PMT(D13,5,D33)</f>
        <v>19960904.47952785</v>
      </c>
      <c r="D45" t="s">
        <v>65</v>
      </c>
      <c r="E45" t="s">
        <v>74</v>
      </c>
    </row>
    <row r="47" spans="2:11" x14ac:dyDescent="0.2">
      <c r="B47" t="s">
        <v>76</v>
      </c>
      <c r="C47" s="223">
        <f>'RBC y BAUE'!D12</f>
        <v>1.0764824052017568</v>
      </c>
      <c r="D47" t="s">
        <v>77</v>
      </c>
      <c r="E47" t="s">
        <v>78</v>
      </c>
    </row>
    <row r="49" spans="2:5" x14ac:dyDescent="0.2">
      <c r="B49" t="s">
        <v>79</v>
      </c>
      <c r="C49" s="224" t="str">
        <f>IF(D33&gt;0,"VIABLE","NO VIABLE")</f>
        <v>VIABLE</v>
      </c>
      <c r="E49" t="s">
        <v>80</v>
      </c>
    </row>
    <row r="51" spans="2:5" x14ac:dyDescent="0.2">
      <c r="B51" s="225" t="s">
        <v>81</v>
      </c>
      <c r="C51" s="226"/>
    </row>
    <row r="52" spans="2:5" x14ac:dyDescent="0.2">
      <c r="B52" t="s">
        <v>82</v>
      </c>
      <c r="C52" s="223">
        <f>'Flujo de Caja'!C94</f>
        <v>0.3</v>
      </c>
      <c r="D52" t="s">
        <v>62</v>
      </c>
      <c r="E52" t="s">
        <v>83</v>
      </c>
    </row>
    <row r="53" spans="2:5" x14ac:dyDescent="0.2">
      <c r="B53" t="s">
        <v>84</v>
      </c>
      <c r="C53" s="222">
        <f>'Flujo de Caja'!C95</f>
        <v>44419969.402088001</v>
      </c>
      <c r="D53" t="s">
        <v>65</v>
      </c>
      <c r="E53" t="s">
        <v>85</v>
      </c>
    </row>
    <row r="54" spans="2:5" x14ac:dyDescent="0.2">
      <c r="B54" t="s">
        <v>86</v>
      </c>
      <c r="C54" s="223">
        <f>'Flujo de Caja'!C96</f>
        <v>0.60562489221313554</v>
      </c>
      <c r="D54" t="s">
        <v>62</v>
      </c>
      <c r="E54" t="s">
        <v>87</v>
      </c>
    </row>
    <row r="55" spans="2:5" x14ac:dyDescent="0.2">
      <c r="B55" t="s">
        <v>88</v>
      </c>
      <c r="C55" s="223">
        <f>'Flujo de Caja'!C97</f>
        <v>0.30562489221313555</v>
      </c>
      <c r="D55" t="s">
        <v>62</v>
      </c>
      <c r="E55" t="s">
        <v>89</v>
      </c>
    </row>
    <row r="56" spans="2:5" x14ac:dyDescent="0.2">
      <c r="B56" t="s">
        <v>90</v>
      </c>
      <c r="C56" s="223">
        <f>MIRR('Flujo de Caja'!C93:'Flujo de Caja'!H93,'Flujo de Caja'!C94,'Flujo de Caja'!C94)</f>
        <v>0.46990272299522906</v>
      </c>
      <c r="D56" t="s">
        <v>62</v>
      </c>
      <c r="E56" t="s">
        <v>91</v>
      </c>
    </row>
    <row r="58" spans="2:5" x14ac:dyDescent="0.2">
      <c r="B58" t="s">
        <v>92</v>
      </c>
      <c r="C58" s="224" t="str">
        <f>IF('Flujo de Caja'!C95&gt;0,"VIABLE","NO VIABLE")</f>
        <v>VIABLE</v>
      </c>
      <c r="E58" t="s">
        <v>93</v>
      </c>
    </row>
  </sheetData>
  <mergeCells count="12">
    <mergeCell ref="B51:C51"/>
    <mergeCell ref="B34:C34"/>
    <mergeCell ref="K30:P31"/>
    <mergeCell ref="F2:K2"/>
    <mergeCell ref="B15:D15"/>
    <mergeCell ref="B25:D25"/>
    <mergeCell ref="B2:D2"/>
    <mergeCell ref="B13:C13"/>
    <mergeCell ref="B36:E36"/>
    <mergeCell ref="B38:C38"/>
    <mergeCell ref="B3:D3"/>
    <mergeCell ref="B33:C33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123"/>
  <sheetViews>
    <sheetView zoomScale="93" zoomScaleNormal="160" workbookViewId="0">
      <selection activeCell="B59" sqref="B59"/>
    </sheetView>
  </sheetViews>
  <sheetFormatPr baseColWidth="10" defaultColWidth="11.5" defaultRowHeight="15" x14ac:dyDescent="0.2"/>
  <cols>
    <col min="1" max="1" width="11.5" style="76" customWidth="1"/>
    <col min="2" max="2" width="43.83203125" style="76" customWidth="1"/>
    <col min="3" max="3" width="19.1640625" style="76" customWidth="1"/>
    <col min="4" max="4" width="20.33203125" style="76" customWidth="1"/>
    <col min="5" max="5" width="25.33203125" style="76" customWidth="1"/>
    <col min="6" max="6" width="21.5" style="76" bestFit="1" customWidth="1"/>
    <col min="7" max="7" width="16.83203125" style="76" customWidth="1"/>
    <col min="8" max="8" width="17.5" style="76" bestFit="1" customWidth="1"/>
    <col min="9" max="9" width="12.6640625" style="76" customWidth="1"/>
    <col min="10" max="10" width="12.33203125" style="76" bestFit="1" customWidth="1"/>
    <col min="11" max="13" width="11.5" style="77" customWidth="1"/>
    <col min="14" max="14" width="11.5" style="76" customWidth="1"/>
    <col min="15" max="16384" width="11.5" style="76"/>
  </cols>
  <sheetData>
    <row r="2" spans="2:13" ht="16" customHeight="1" x14ac:dyDescent="0.2">
      <c r="B2" s="75" t="s">
        <v>94</v>
      </c>
    </row>
    <row r="4" spans="2:13" ht="12" customHeight="1" x14ac:dyDescent="0.2">
      <c r="B4" s="75" t="s">
        <v>95</v>
      </c>
      <c r="C4" s="78"/>
      <c r="D4" s="78"/>
      <c r="E4" s="78"/>
      <c r="F4" s="78"/>
      <c r="G4" s="78"/>
    </row>
    <row r="5" spans="2:13" ht="16" customHeight="1" x14ac:dyDescent="0.2">
      <c r="B5" s="75"/>
      <c r="C5" s="93" t="s">
        <v>96</v>
      </c>
      <c r="D5" s="164">
        <f>'Indicadores Macro'!D11</f>
        <v>6.4383333333333334E-2</v>
      </c>
      <c r="E5" s="93" t="s">
        <v>97</v>
      </c>
      <c r="F5" s="164">
        <f>'Indicadores Macro'!H11</f>
        <v>7.0000000000000007E-2</v>
      </c>
      <c r="G5" s="83"/>
    </row>
    <row r="6" spans="2:13" ht="16" customHeight="1" x14ac:dyDescent="0.2">
      <c r="B6" s="80" t="s">
        <v>98</v>
      </c>
      <c r="C6" s="80" t="s">
        <v>99</v>
      </c>
      <c r="D6" s="80" t="s">
        <v>100</v>
      </c>
      <c r="E6" s="80" t="s">
        <v>101</v>
      </c>
      <c r="F6" s="80" t="s">
        <v>102</v>
      </c>
      <c r="G6" s="80" t="s">
        <v>103</v>
      </c>
      <c r="J6" s="77"/>
      <c r="M6" s="76"/>
    </row>
    <row r="7" spans="2:13" ht="16" customHeight="1" x14ac:dyDescent="0.2">
      <c r="B7" s="81" t="s">
        <v>104</v>
      </c>
      <c r="C7" s="82">
        <f>Tamaño!C10</f>
        <v>3081.6000000000004</v>
      </c>
      <c r="D7" s="82">
        <f>Tamaño!C11</f>
        <v>3297.3120000000008</v>
      </c>
      <c r="E7" s="82">
        <f>Tamaño!C12</f>
        <v>3528.1238400000011</v>
      </c>
      <c r="F7" s="82">
        <f>Tamaño!C13</f>
        <v>3775.0925088000013</v>
      </c>
      <c r="G7" s="82">
        <f>Tamaño!C14</f>
        <v>4039.3489844160017</v>
      </c>
      <c r="J7" s="77"/>
      <c r="M7" s="76"/>
    </row>
    <row r="8" spans="2:13" ht="16" customHeight="1" x14ac:dyDescent="0.2">
      <c r="B8" s="81" t="s">
        <v>105</v>
      </c>
      <c r="C8" s="73">
        <v>0.6</v>
      </c>
      <c r="D8" s="73">
        <f>C8+10%</f>
        <v>0.7</v>
      </c>
      <c r="E8" s="73">
        <f>D8+10%</f>
        <v>0.79999999999999993</v>
      </c>
      <c r="F8" s="73">
        <f>E8+10%</f>
        <v>0.89999999999999991</v>
      </c>
      <c r="G8" s="73">
        <f>F8+10%</f>
        <v>0.99999999999999989</v>
      </c>
      <c r="J8" s="77"/>
      <c r="M8" s="76"/>
    </row>
    <row r="9" spans="2:13" ht="16" customHeight="1" x14ac:dyDescent="0.2">
      <c r="B9" s="83" t="s">
        <v>106</v>
      </c>
      <c r="C9" s="83">
        <f>C7*C8</f>
        <v>1848.96</v>
      </c>
      <c r="D9" s="83">
        <f>D7*D8</f>
        <v>2308.1184000000003</v>
      </c>
      <c r="E9" s="83">
        <f>E7*E8</f>
        <v>2822.4990720000005</v>
      </c>
      <c r="F9" s="83">
        <f>F7*F8</f>
        <v>3397.583257920001</v>
      </c>
      <c r="G9" s="83">
        <f>G7*G8</f>
        <v>4039.3489844160013</v>
      </c>
      <c r="J9" s="77"/>
      <c r="M9" s="76"/>
    </row>
    <row r="10" spans="2:13" ht="16" customHeight="1" x14ac:dyDescent="0.2">
      <c r="B10" s="81" t="s">
        <v>107</v>
      </c>
      <c r="C10" s="82">
        <f>'Precio Proy'!F6</f>
        <v>215635.87418300656</v>
      </c>
      <c r="D10" s="81">
        <f>C10*(1+$D5)</f>
        <v>229519.23054915576</v>
      </c>
      <c r="E10" s="81">
        <f>D10*(1+$D5)</f>
        <v>244296.44367601222</v>
      </c>
      <c r="F10" s="81">
        <f>E10*(1+$D5)</f>
        <v>260025.06304135278</v>
      </c>
      <c r="G10" s="81">
        <f>F10*(1+$D5)</f>
        <v>276766.34335016517</v>
      </c>
      <c r="J10" s="77"/>
      <c r="M10" s="76"/>
    </row>
    <row r="11" spans="2:13" ht="16" customHeight="1" x14ac:dyDescent="0.2">
      <c r="B11" s="81" t="s">
        <v>108</v>
      </c>
      <c r="C11" s="82">
        <f>Costos!F19</f>
        <v>106104.75</v>
      </c>
      <c r="D11" s="81">
        <f>C11*(1+$F5)</f>
        <v>113532.0825</v>
      </c>
      <c r="E11" s="81">
        <f>D11*(1+$F5)</f>
        <v>121479.32827500001</v>
      </c>
      <c r="F11" s="81">
        <f>E11*(1+$F5)</f>
        <v>129982.88125425001</v>
      </c>
      <c r="G11" s="81">
        <f>F11*(1+$F5)</f>
        <v>139081.68294204751</v>
      </c>
      <c r="J11" s="77"/>
      <c r="M11" s="76"/>
    </row>
    <row r="12" spans="2:13" ht="16" customHeight="1" x14ac:dyDescent="0.2">
      <c r="B12" s="81" t="s">
        <v>109</v>
      </c>
      <c r="C12" s="82">
        <f>Gastos!F22</f>
        <v>77185.743055555562</v>
      </c>
      <c r="D12" s="81">
        <f>C12*(1+$F5)</f>
        <v>82588.745069444456</v>
      </c>
      <c r="E12" s="81">
        <f>D12*(1+$F5)</f>
        <v>88369.957224305574</v>
      </c>
      <c r="F12" s="81">
        <f>E12*(1+$F5)</f>
        <v>94555.854230006968</v>
      </c>
      <c r="G12" s="81">
        <f>F12*(1+$F5)</f>
        <v>101174.76402610746</v>
      </c>
      <c r="J12" s="77"/>
      <c r="M12" s="76"/>
    </row>
    <row r="13" spans="2:13" ht="16" customHeight="1" x14ac:dyDescent="0.2">
      <c r="B13" s="81" t="s">
        <v>110</v>
      </c>
      <c r="C13" s="82">
        <f>C11+C12</f>
        <v>183290.49305555556</v>
      </c>
      <c r="D13" s="81">
        <f>D11+D12</f>
        <v>196120.82756944446</v>
      </c>
      <c r="E13" s="81">
        <f>E11+E12</f>
        <v>209849.28549930558</v>
      </c>
      <c r="F13" s="81">
        <f>F11+F12</f>
        <v>224538.73548425699</v>
      </c>
      <c r="G13" s="81">
        <f>G11+G12</f>
        <v>240256.44696815498</v>
      </c>
      <c r="J13" s="77"/>
      <c r="M13" s="76"/>
    </row>
    <row r="14" spans="2:13" ht="16" customHeight="1" x14ac:dyDescent="0.2">
      <c r="B14" s="81" t="s">
        <v>111</v>
      </c>
      <c r="C14" s="81">
        <f>C9*C10</f>
        <v>398702105.92941183</v>
      </c>
      <c r="D14" s="81">
        <f>D9*D10</f>
        <v>529757559.18434858</v>
      </c>
      <c r="E14" s="81">
        <f>E9*E10</f>
        <v>689526485.56844485</v>
      </c>
      <c r="F14" s="81">
        <f>F9*F10</f>
        <v>883456800.82889307</v>
      </c>
      <c r="G14" s="81">
        <f>G9*G10</f>
        <v>1117955847.9320199</v>
      </c>
      <c r="I14" s="84"/>
      <c r="J14" s="77"/>
      <c r="M14" s="76"/>
    </row>
    <row r="15" spans="2:13" ht="16" customHeight="1" x14ac:dyDescent="0.2">
      <c r="B15" s="81" t="s">
        <v>112</v>
      </c>
      <c r="C15" s="81">
        <f>C9*C11</f>
        <v>196183438.56</v>
      </c>
      <c r="D15" s="81">
        <f>D9*D11</f>
        <v>262045488.60856804</v>
      </c>
      <c r="E15" s="81">
        <f>E9*E11</f>
        <v>342875291.32337093</v>
      </c>
      <c r="F15" s="81">
        <f>F9*F11</f>
        <v>441627661.16564339</v>
      </c>
      <c r="G15" s="81">
        <f>G9*G11</f>
        <v>561799454.74282789</v>
      </c>
      <c r="J15" s="77"/>
      <c r="M15" s="76"/>
    </row>
    <row r="16" spans="2:13" ht="16" customHeight="1" x14ac:dyDescent="0.2">
      <c r="B16" s="81" t="s">
        <v>113</v>
      </c>
      <c r="C16" s="81">
        <f>C9*C12</f>
        <v>142713351.48000002</v>
      </c>
      <c r="D16" s="81">
        <f>D9*D12</f>
        <v>190624602.12769404</v>
      </c>
      <c r="E16" s="81">
        <f>E9*E12</f>
        <v>249424122.25828221</v>
      </c>
      <c r="F16" s="81">
        <f>F9*F12</f>
        <v>321261387.27019578</v>
      </c>
      <c r="G16" s="81">
        <f>G9*G12</f>
        <v>408680180.31738573</v>
      </c>
      <c r="J16" s="77"/>
      <c r="M16" s="76"/>
    </row>
    <row r="18" spans="2:10" ht="16" customHeight="1" x14ac:dyDescent="0.2">
      <c r="B18" s="75" t="s">
        <v>114</v>
      </c>
      <c r="D18" s="78"/>
      <c r="E18" s="78"/>
      <c r="J18" s="84"/>
    </row>
    <row r="19" spans="2:10" x14ac:dyDescent="0.2">
      <c r="B19" s="75"/>
      <c r="D19" s="78"/>
      <c r="E19" s="78"/>
      <c r="J19" s="84"/>
    </row>
    <row r="20" spans="2:10" ht="16" customHeight="1" x14ac:dyDescent="0.2">
      <c r="B20" s="80" t="s">
        <v>98</v>
      </c>
      <c r="C20" s="80" t="s">
        <v>115</v>
      </c>
      <c r="D20" s="78"/>
      <c r="J20" s="85"/>
    </row>
    <row r="21" spans="2:10" ht="16" customHeight="1" x14ac:dyDescent="0.2">
      <c r="B21" s="81" t="s">
        <v>116</v>
      </c>
      <c r="C21" s="81">
        <f>(C16)*1.5/12</f>
        <v>17839168.935000002</v>
      </c>
      <c r="J21" s="85"/>
    </row>
    <row r="22" spans="2:10" ht="16" customHeight="1" x14ac:dyDescent="0.2">
      <c r="B22" s="81" t="s">
        <v>117</v>
      </c>
      <c r="C22" s="81">
        <v>0</v>
      </c>
      <c r="J22" s="85"/>
    </row>
    <row r="23" spans="2:10" ht="16" customHeight="1" x14ac:dyDescent="0.2">
      <c r="B23" s="81" t="s">
        <v>118</v>
      </c>
      <c r="C23" s="82">
        <f>Costos!E25+Gastos!E28</f>
        <v>86800000</v>
      </c>
    </row>
    <row r="24" spans="2:10" ht="16" customHeight="1" x14ac:dyDescent="0.2">
      <c r="B24" s="81" t="s">
        <v>119</v>
      </c>
      <c r="C24" s="82">
        <v>26300000</v>
      </c>
    </row>
    <row r="25" spans="2:10" ht="16" customHeight="1" x14ac:dyDescent="0.2">
      <c r="B25" s="80" t="s">
        <v>120</v>
      </c>
      <c r="C25" s="86">
        <f>SUM(C21:C24)</f>
        <v>130939168.935</v>
      </c>
    </row>
    <row r="27" spans="2:10" ht="16" customHeight="1" x14ac:dyDescent="0.2">
      <c r="B27" s="75" t="s">
        <v>121</v>
      </c>
    </row>
    <row r="28" spans="2:10" x14ac:dyDescent="0.2">
      <c r="B28" s="75"/>
    </row>
    <row r="29" spans="2:10" ht="16" customHeight="1" x14ac:dyDescent="0.2">
      <c r="B29" s="80" t="s">
        <v>122</v>
      </c>
      <c r="C29" s="80" t="s">
        <v>115</v>
      </c>
      <c r="D29" s="80" t="s">
        <v>123</v>
      </c>
    </row>
    <row r="30" spans="2:10" ht="16" customHeight="1" x14ac:dyDescent="0.2">
      <c r="B30" s="81" t="s">
        <v>124</v>
      </c>
      <c r="C30" s="81">
        <f>$C$25*D30</f>
        <v>78563501.361000001</v>
      </c>
      <c r="D30" s="197">
        <v>0.6</v>
      </c>
    </row>
    <row r="31" spans="2:10" ht="16" customHeight="1" x14ac:dyDescent="0.2">
      <c r="B31" s="81" t="s">
        <v>125</v>
      </c>
      <c r="C31" s="81">
        <f>$C$25*D31</f>
        <v>52375667.574000001</v>
      </c>
      <c r="D31" s="87">
        <v>0.4</v>
      </c>
    </row>
    <row r="32" spans="2:10" ht="16" customHeight="1" x14ac:dyDescent="0.2">
      <c r="B32" s="80" t="s">
        <v>126</v>
      </c>
      <c r="C32" s="80">
        <f>SUM(C30:C31)</f>
        <v>130939168.935</v>
      </c>
      <c r="D32" s="88">
        <f>SUM(D30:D31)</f>
        <v>1</v>
      </c>
    </row>
    <row r="33" spans="2:8" ht="16" customHeight="1" x14ac:dyDescent="0.2">
      <c r="B33" s="81" t="s">
        <v>127</v>
      </c>
      <c r="C33" s="87">
        <v>0.25</v>
      </c>
      <c r="D33" s="81" t="s">
        <v>128</v>
      </c>
    </row>
    <row r="34" spans="2:8" ht="16" customHeight="1" x14ac:dyDescent="0.2">
      <c r="B34" s="81" t="s">
        <v>129</v>
      </c>
      <c r="C34" s="87">
        <v>0.3</v>
      </c>
      <c r="D34" s="81" t="s">
        <v>128</v>
      </c>
    </row>
    <row r="35" spans="2:8" ht="16" customHeight="1" x14ac:dyDescent="0.2">
      <c r="B35" s="81" t="s">
        <v>130</v>
      </c>
      <c r="C35" s="87">
        <v>0.35</v>
      </c>
      <c r="D35" s="81" t="s">
        <v>128</v>
      </c>
    </row>
    <row r="36" spans="2:8" ht="16" customHeight="1" x14ac:dyDescent="0.2">
      <c r="B36" s="81" t="s">
        <v>131</v>
      </c>
      <c r="C36" s="81">
        <f>C30</f>
        <v>78563501.361000001</v>
      </c>
      <c r="D36" s="81"/>
    </row>
    <row r="37" spans="2:8" ht="16" customHeight="1" x14ac:dyDescent="0.2">
      <c r="B37" s="81" t="s">
        <v>132</v>
      </c>
      <c r="C37" s="81">
        <v>5</v>
      </c>
      <c r="D37" s="81" t="s">
        <v>75</v>
      </c>
    </row>
    <row r="38" spans="2:8" ht="16" customHeight="1" x14ac:dyDescent="0.2">
      <c r="B38" s="81" t="s">
        <v>133</v>
      </c>
      <c r="C38" s="81">
        <f>PMT(C33,C37,-C36)</f>
        <v>29213581.836402308</v>
      </c>
      <c r="D38" s="81"/>
    </row>
    <row r="39" spans="2:8" ht="16" customHeight="1" x14ac:dyDescent="0.2">
      <c r="B39" s="80" t="s">
        <v>98</v>
      </c>
      <c r="C39" s="80" t="s">
        <v>134</v>
      </c>
      <c r="D39" s="80" t="s">
        <v>99</v>
      </c>
      <c r="E39" s="80" t="s">
        <v>100</v>
      </c>
      <c r="F39" s="80" t="s">
        <v>101</v>
      </c>
      <c r="G39" s="80" t="s">
        <v>102</v>
      </c>
      <c r="H39" s="80" t="s">
        <v>103</v>
      </c>
    </row>
    <row r="40" spans="2:8" ht="16" customHeight="1" x14ac:dyDescent="0.2">
      <c r="B40" s="81" t="s">
        <v>133</v>
      </c>
      <c r="C40" s="81"/>
      <c r="D40" s="81">
        <f>$C$38</f>
        <v>29213581.836402308</v>
      </c>
      <c r="E40" s="81">
        <f>$C$38</f>
        <v>29213581.836402308</v>
      </c>
      <c r="F40" s="81">
        <f>$C$38</f>
        <v>29213581.836402308</v>
      </c>
      <c r="G40" s="81">
        <f>$C$38</f>
        <v>29213581.836402308</v>
      </c>
      <c r="H40" s="81">
        <f>$C$38</f>
        <v>29213581.836402308</v>
      </c>
    </row>
    <row r="41" spans="2:8" ht="16" customHeight="1" x14ac:dyDescent="0.2">
      <c r="B41" s="81" t="s">
        <v>135</v>
      </c>
      <c r="C41" s="81"/>
      <c r="D41" s="81">
        <f>C43*$C$33</f>
        <v>19640875.34025</v>
      </c>
      <c r="E41" s="81">
        <f>D43*$C$33</f>
        <v>17247698.716211922</v>
      </c>
      <c r="F41" s="81">
        <f>E43*$C$33</f>
        <v>14256227.936164327</v>
      </c>
      <c r="G41" s="81">
        <f>F43*$C$33</f>
        <v>10516889.461104833</v>
      </c>
      <c r="H41" s="81">
        <f>G43*$C$33</f>
        <v>5842716.3672804637</v>
      </c>
    </row>
    <row r="42" spans="2:8" ht="16" customHeight="1" x14ac:dyDescent="0.2">
      <c r="B42" s="81" t="s">
        <v>136</v>
      </c>
      <c r="C42" s="81"/>
      <c r="D42" s="81">
        <f>D40-D41</f>
        <v>9572706.4961523078</v>
      </c>
      <c r="E42" s="81">
        <f>E40-E41</f>
        <v>11965883.120190386</v>
      </c>
      <c r="F42" s="81">
        <f>F40-F41</f>
        <v>14957353.900237981</v>
      </c>
      <c r="G42" s="81">
        <f>G40-G41</f>
        <v>18696692.375297476</v>
      </c>
      <c r="H42" s="81">
        <f>H40-H41</f>
        <v>23370865.469121844</v>
      </c>
    </row>
    <row r="43" spans="2:8" ht="16" customHeight="1" x14ac:dyDescent="0.2">
      <c r="B43" s="81" t="s">
        <v>137</v>
      </c>
      <c r="C43" s="81">
        <f>C36</f>
        <v>78563501.361000001</v>
      </c>
      <c r="D43" s="81">
        <f>C43-D42</f>
        <v>68990794.86484769</v>
      </c>
      <c r="E43" s="81">
        <f>D43-E42</f>
        <v>57024911.744657308</v>
      </c>
      <c r="F43" s="81">
        <f>E43-F42</f>
        <v>42067557.84441933</v>
      </c>
      <c r="G43" s="81">
        <f>F43-G42</f>
        <v>23370865.469121855</v>
      </c>
      <c r="H43" s="81">
        <f>G43-H42</f>
        <v>0</v>
      </c>
    </row>
    <row r="44" spans="2:8" ht="16" customHeight="1" x14ac:dyDescent="0.2">
      <c r="B44" s="80" t="s">
        <v>138</v>
      </c>
      <c r="C44" s="80" t="s">
        <v>131</v>
      </c>
      <c r="D44" s="80" t="s">
        <v>123</v>
      </c>
      <c r="E44" s="80" t="s">
        <v>139</v>
      </c>
      <c r="F44" s="80" t="s">
        <v>140</v>
      </c>
      <c r="G44" s="80" t="s">
        <v>141</v>
      </c>
      <c r="H44" s="81"/>
    </row>
    <row r="45" spans="2:8" ht="16" customHeight="1" x14ac:dyDescent="0.2">
      <c r="B45" s="81" t="str">
        <f>B30</f>
        <v>Recursos de créditos</v>
      </c>
      <c r="C45" s="65">
        <f>C30</f>
        <v>78563501.361000001</v>
      </c>
      <c r="D45" s="60">
        <f>C45/$C$47</f>
        <v>0.6</v>
      </c>
      <c r="E45" s="60">
        <f>C33</f>
        <v>0.25</v>
      </c>
      <c r="F45" s="60">
        <f>E45*(1-C35)</f>
        <v>0.16250000000000001</v>
      </c>
      <c r="G45" s="60">
        <f>D45*F45</f>
        <v>9.7500000000000003E-2</v>
      </c>
      <c r="H45" s="81"/>
    </row>
    <row r="46" spans="2:8" ht="16" customHeight="1" x14ac:dyDescent="0.2">
      <c r="B46" s="81" t="str">
        <f>B31</f>
        <v>Recursos de socios</v>
      </c>
      <c r="C46" s="65">
        <f>C31</f>
        <v>52375667.574000001</v>
      </c>
      <c r="D46" s="60">
        <f>C46/$C$47</f>
        <v>0.4</v>
      </c>
      <c r="E46" s="60">
        <f>C34</f>
        <v>0.3</v>
      </c>
      <c r="F46" s="60">
        <f>E46</f>
        <v>0.3</v>
      </c>
      <c r="G46" s="60">
        <f>D46*F46</f>
        <v>0.12</v>
      </c>
      <c r="H46" s="81"/>
    </row>
    <row r="47" spans="2:8" ht="16" customHeight="1" x14ac:dyDescent="0.2">
      <c r="B47" s="80" t="s">
        <v>126</v>
      </c>
      <c r="C47" s="86">
        <f>SUM(C45:C46)</f>
        <v>130939168.935</v>
      </c>
      <c r="D47" s="88">
        <f>C47/$C$47</f>
        <v>1</v>
      </c>
      <c r="E47" s="88"/>
      <c r="F47" s="88"/>
      <c r="G47" s="94">
        <f>SUM(G45:G46)</f>
        <v>0.2175</v>
      </c>
      <c r="H47" s="89"/>
    </row>
    <row r="49" spans="2:15" ht="16" customHeight="1" x14ac:dyDescent="0.2">
      <c r="B49" s="75" t="s">
        <v>142</v>
      </c>
    </row>
    <row r="50" spans="2:15" x14ac:dyDescent="0.2">
      <c r="B50" s="75"/>
    </row>
    <row r="51" spans="2:15" ht="16" customHeight="1" x14ac:dyDescent="0.2">
      <c r="B51" s="80" t="s">
        <v>98</v>
      </c>
      <c r="C51" s="80" t="s">
        <v>134</v>
      </c>
      <c r="D51" s="80" t="s">
        <v>99</v>
      </c>
      <c r="E51" s="80" t="s">
        <v>100</v>
      </c>
      <c r="F51" s="80" t="s">
        <v>101</v>
      </c>
      <c r="G51" s="80" t="s">
        <v>102</v>
      </c>
      <c r="H51" s="80" t="s">
        <v>103</v>
      </c>
      <c r="N51" s="77"/>
      <c r="O51" s="77"/>
    </row>
    <row r="52" spans="2:15" ht="16" customHeight="1" x14ac:dyDescent="0.2">
      <c r="B52" s="81" t="s">
        <v>143</v>
      </c>
      <c r="C52" s="65">
        <v>0</v>
      </c>
      <c r="D52" s="81">
        <f>C14</f>
        <v>398702105.92941183</v>
      </c>
      <c r="E52" s="81">
        <f>D14</f>
        <v>529757559.18434858</v>
      </c>
      <c r="F52" s="81">
        <f>E14</f>
        <v>689526485.56844485</v>
      </c>
      <c r="G52" s="81">
        <f>F14</f>
        <v>883456800.82889307</v>
      </c>
      <c r="H52" s="81">
        <f>G14</f>
        <v>1117955847.9320199</v>
      </c>
    </row>
    <row r="53" spans="2:15" ht="16" customHeight="1" x14ac:dyDescent="0.2">
      <c r="B53" s="81" t="s">
        <v>144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81">
        <f>C23*10%</f>
        <v>8680000</v>
      </c>
    </row>
    <row r="54" spans="2:15" s="78" customFormat="1" ht="16" customHeight="1" x14ac:dyDescent="0.2">
      <c r="B54" s="80" t="s">
        <v>145</v>
      </c>
      <c r="C54" s="86">
        <v>0</v>
      </c>
      <c r="D54" s="80">
        <f>SUM(D52:D53)</f>
        <v>398702105.92941183</v>
      </c>
      <c r="E54" s="80">
        <f>SUM(E52:E53)</f>
        <v>529757559.18434858</v>
      </c>
      <c r="F54" s="80">
        <f>SUM(F52:F53)</f>
        <v>689526485.56844485</v>
      </c>
      <c r="G54" s="80">
        <f>SUM(G52:G53)</f>
        <v>883456800.82889307</v>
      </c>
      <c r="H54" s="80">
        <f>SUM(H52:H53)</f>
        <v>1126635847.9320199</v>
      </c>
      <c r="K54" s="90"/>
      <c r="L54" s="90"/>
      <c r="M54" s="90"/>
      <c r="N54" s="90"/>
      <c r="O54" s="90"/>
    </row>
    <row r="55" spans="2:15" ht="16" customHeight="1" x14ac:dyDescent="0.2">
      <c r="B55" s="81" t="s">
        <v>146</v>
      </c>
      <c r="C55" s="65">
        <v>0</v>
      </c>
      <c r="D55" s="81">
        <f t="shared" ref="D55:H56" si="0">C15</f>
        <v>196183438.56</v>
      </c>
      <c r="E55" s="81">
        <f t="shared" si="0"/>
        <v>262045488.60856804</v>
      </c>
      <c r="F55" s="81">
        <f t="shared" si="0"/>
        <v>342875291.32337093</v>
      </c>
      <c r="G55" s="81">
        <f t="shared" si="0"/>
        <v>441627661.16564339</v>
      </c>
      <c r="H55" s="81">
        <f t="shared" si="0"/>
        <v>561799454.74282789</v>
      </c>
    </row>
    <row r="56" spans="2:15" ht="16" customHeight="1" x14ac:dyDescent="0.2">
      <c r="B56" s="81" t="s">
        <v>147</v>
      </c>
      <c r="C56" s="65">
        <v>0</v>
      </c>
      <c r="D56" s="81">
        <f t="shared" si="0"/>
        <v>142713351.48000002</v>
      </c>
      <c r="E56" s="81">
        <f t="shared" si="0"/>
        <v>190624602.12769404</v>
      </c>
      <c r="F56" s="81">
        <f t="shared" si="0"/>
        <v>249424122.25828221</v>
      </c>
      <c r="G56" s="81">
        <f t="shared" si="0"/>
        <v>321261387.27019578</v>
      </c>
      <c r="H56" s="81">
        <f t="shared" si="0"/>
        <v>408680180.31738573</v>
      </c>
    </row>
    <row r="57" spans="2:15" ht="16" customHeight="1" x14ac:dyDescent="0.2">
      <c r="B57" s="81" t="s">
        <v>148</v>
      </c>
      <c r="C57" s="65">
        <v>0</v>
      </c>
      <c r="D57" s="81">
        <f>+$C$23*10%</f>
        <v>8680000</v>
      </c>
      <c r="E57" s="81">
        <f>+$C$23*10%</f>
        <v>8680000</v>
      </c>
      <c r="F57" s="81">
        <f>+$C$23*10%</f>
        <v>8680000</v>
      </c>
      <c r="G57" s="81">
        <f>+$C$23*10%</f>
        <v>8680000</v>
      </c>
      <c r="H57" s="81">
        <f>+$C$23*10%</f>
        <v>8680000</v>
      </c>
    </row>
    <row r="58" spans="2:15" ht="16" customHeight="1" x14ac:dyDescent="0.2">
      <c r="B58" s="81" t="s">
        <v>149</v>
      </c>
      <c r="C58" s="65">
        <v>0</v>
      </c>
      <c r="D58" s="81">
        <f>$C$24*20%</f>
        <v>5260000</v>
      </c>
      <c r="E58" s="81">
        <f>$C$24*20%</f>
        <v>5260000</v>
      </c>
      <c r="F58" s="81">
        <f>$C$24*20%</f>
        <v>5260000</v>
      </c>
      <c r="G58" s="81">
        <f>$C$24*20%</f>
        <v>5260000</v>
      </c>
      <c r="H58" s="81">
        <f>$C$24*20%</f>
        <v>5260000</v>
      </c>
    </row>
    <row r="59" spans="2:15" ht="16" customHeight="1" x14ac:dyDescent="0.2">
      <c r="B59" s="81" t="s">
        <v>150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</row>
    <row r="60" spans="2:15" s="78" customFormat="1" ht="16" customHeight="1" x14ac:dyDescent="0.2">
      <c r="B60" s="80" t="s">
        <v>151</v>
      </c>
      <c r="C60" s="86">
        <v>0</v>
      </c>
      <c r="D60" s="80">
        <f>D54-D55-D56-D57-D58-D59</f>
        <v>45865315.889411807</v>
      </c>
      <c r="E60" s="80">
        <f>E54-E55-E56-E57-E58-E59</f>
        <v>63147468.4480865</v>
      </c>
      <c r="F60" s="80">
        <f>F54-F55-F56-F57-F58-F59</f>
        <v>83287071.9867917</v>
      </c>
      <c r="G60" s="80">
        <f>G54-G55-G56-G57-G58-G59</f>
        <v>106627752.39305389</v>
      </c>
      <c r="H60" s="80">
        <f>H54-H55-H56-H57-H58-H59</f>
        <v>142216212.87180632</v>
      </c>
      <c r="K60" s="90"/>
      <c r="L60" s="90"/>
      <c r="M60" s="90"/>
    </row>
    <row r="61" spans="2:15" ht="16" customHeight="1" x14ac:dyDescent="0.2">
      <c r="B61" s="81" t="s">
        <v>152</v>
      </c>
      <c r="C61" s="65">
        <v>0</v>
      </c>
      <c r="D61" s="65">
        <f>IF(D60&gt;0,D60*$C$35,0)</f>
        <v>16052860.561294131</v>
      </c>
      <c r="E61" s="65">
        <f>IF(E60&gt;0,E60*$C$35,0)</f>
        <v>22101613.956830274</v>
      </c>
      <c r="F61" s="65">
        <f>IF(F60&gt;0,F60*$C$35,0)</f>
        <v>29150475.195377093</v>
      </c>
      <c r="G61" s="65">
        <f>IF(G60&gt;0,G60*$C$35,0)</f>
        <v>37319713.337568857</v>
      </c>
      <c r="H61" s="65">
        <f>IF(H60&gt;0,H60*$C$35,0)</f>
        <v>49775674.505132213</v>
      </c>
    </row>
    <row r="62" spans="2:15" s="78" customFormat="1" ht="16" customHeight="1" x14ac:dyDescent="0.2">
      <c r="B62" s="80" t="s">
        <v>153</v>
      </c>
      <c r="C62" s="86">
        <v>0</v>
      </c>
      <c r="D62" s="80">
        <f>D60-D61</f>
        <v>29812455.328117676</v>
      </c>
      <c r="E62" s="80">
        <f>E60-E61</f>
        <v>41045854.491256222</v>
      </c>
      <c r="F62" s="80">
        <f>F60-F61</f>
        <v>54136596.791414604</v>
      </c>
      <c r="G62" s="80">
        <f>G60-G61</f>
        <v>69308039.05548504</v>
      </c>
      <c r="H62" s="80">
        <f>H60-H61</f>
        <v>92440538.36667411</v>
      </c>
      <c r="K62" s="90"/>
      <c r="L62" s="90"/>
      <c r="M62" s="90"/>
    </row>
    <row r="63" spans="2:15" ht="16" customHeight="1" x14ac:dyDescent="0.2">
      <c r="B63" s="81" t="s">
        <v>154</v>
      </c>
      <c r="C63" s="65">
        <v>0</v>
      </c>
      <c r="D63" s="81">
        <f t="shared" ref="D63:H64" si="1">D57</f>
        <v>8680000</v>
      </c>
      <c r="E63" s="81">
        <f t="shared" si="1"/>
        <v>8680000</v>
      </c>
      <c r="F63" s="81">
        <f t="shared" si="1"/>
        <v>8680000</v>
      </c>
      <c r="G63" s="81">
        <f t="shared" si="1"/>
        <v>8680000</v>
      </c>
      <c r="H63" s="81">
        <f t="shared" si="1"/>
        <v>8680000</v>
      </c>
    </row>
    <row r="64" spans="2:15" ht="16" customHeight="1" x14ac:dyDescent="0.2">
      <c r="B64" s="81" t="s">
        <v>155</v>
      </c>
      <c r="C64" s="65">
        <v>0</v>
      </c>
      <c r="D64" s="81">
        <f t="shared" si="1"/>
        <v>5260000</v>
      </c>
      <c r="E64" s="81">
        <f t="shared" si="1"/>
        <v>5260000</v>
      </c>
      <c r="F64" s="81">
        <f t="shared" si="1"/>
        <v>5260000</v>
      </c>
      <c r="G64" s="81">
        <f t="shared" si="1"/>
        <v>5260000</v>
      </c>
      <c r="H64" s="81">
        <f t="shared" si="1"/>
        <v>5260000</v>
      </c>
    </row>
    <row r="65" spans="2:13" ht="16" customHeight="1" x14ac:dyDescent="0.2">
      <c r="B65" s="81" t="s">
        <v>156</v>
      </c>
      <c r="C65" s="65">
        <v>0</v>
      </c>
      <c r="D65" s="65">
        <v>0</v>
      </c>
      <c r="E65" s="65">
        <v>0</v>
      </c>
      <c r="F65" s="65">
        <v>0</v>
      </c>
      <c r="G65" s="65">
        <v>0</v>
      </c>
      <c r="H65" s="65">
        <v>0</v>
      </c>
    </row>
    <row r="66" spans="2:13" ht="16" customHeight="1" x14ac:dyDescent="0.2">
      <c r="B66" s="81" t="s">
        <v>157</v>
      </c>
      <c r="C66" s="65">
        <v>0</v>
      </c>
      <c r="D66" s="65">
        <v>0</v>
      </c>
      <c r="E66" s="81">
        <f>C22*$D$5</f>
        <v>0</v>
      </c>
      <c r="F66" s="81">
        <f>E66*(1+$D$5)</f>
        <v>0</v>
      </c>
      <c r="G66" s="81">
        <f>F66*(1+$D$5)</f>
        <v>0</v>
      </c>
      <c r="H66" s="81">
        <f>G66*(1+$D$5)</f>
        <v>0</v>
      </c>
    </row>
    <row r="67" spans="2:13" ht="16" customHeight="1" x14ac:dyDescent="0.2">
      <c r="B67" s="81" t="s">
        <v>158</v>
      </c>
      <c r="C67" s="81">
        <f>C47</f>
        <v>130939168.935</v>
      </c>
      <c r="D67" s="65"/>
      <c r="E67" s="65"/>
      <c r="F67" s="65"/>
      <c r="G67" s="65"/>
      <c r="H67" s="65"/>
    </row>
    <row r="68" spans="2:13" s="78" customFormat="1" ht="16" customHeight="1" x14ac:dyDescent="0.2">
      <c r="B68" s="80" t="s">
        <v>159</v>
      </c>
      <c r="C68" s="80">
        <f t="shared" ref="C68:H68" si="2">C62+C63+C64-C65-C66-C67</f>
        <v>-130939168.935</v>
      </c>
      <c r="D68" s="80">
        <f t="shared" si="2"/>
        <v>43752455.328117676</v>
      </c>
      <c r="E68" s="80">
        <f t="shared" si="2"/>
        <v>54985854.491256222</v>
      </c>
      <c r="F68" s="80">
        <f t="shared" si="2"/>
        <v>68076596.791414604</v>
      </c>
      <c r="G68" s="80">
        <f t="shared" si="2"/>
        <v>83248039.05548504</v>
      </c>
      <c r="H68" s="80">
        <f t="shared" si="2"/>
        <v>106380538.36667411</v>
      </c>
      <c r="K68" s="90"/>
      <c r="L68" s="90"/>
      <c r="M68" s="90"/>
    </row>
    <row r="69" spans="2:13" ht="16" customHeight="1" x14ac:dyDescent="0.2">
      <c r="B69" s="81" t="s">
        <v>160</v>
      </c>
      <c r="C69" s="60">
        <f>G47</f>
        <v>0.2175</v>
      </c>
      <c r="D69" s="81"/>
      <c r="E69" s="81"/>
      <c r="F69" s="81"/>
      <c r="G69" s="81"/>
      <c r="H69" s="81"/>
    </row>
    <row r="70" spans="2:13" ht="16" customHeight="1" x14ac:dyDescent="0.2">
      <c r="B70" s="81" t="s">
        <v>161</v>
      </c>
      <c r="C70" s="81">
        <f>NPV(C69,D68:H68)+C68</f>
        <v>57467798.455263436</v>
      </c>
      <c r="D70" s="81"/>
      <c r="E70" s="81"/>
      <c r="F70" s="81"/>
      <c r="G70" s="81"/>
      <c r="H70" s="81"/>
    </row>
    <row r="71" spans="2:13" ht="16" customHeight="1" x14ac:dyDescent="0.2">
      <c r="B71" s="81" t="s">
        <v>162</v>
      </c>
      <c r="C71" s="60">
        <f>IRR(C68:H68)</f>
        <v>0.37906230521412798</v>
      </c>
      <c r="D71" s="81"/>
      <c r="E71" s="81"/>
      <c r="F71" s="81"/>
      <c r="G71" s="81"/>
      <c r="H71" s="81"/>
    </row>
    <row r="72" spans="2:13" ht="16" customHeight="1" x14ac:dyDescent="0.2">
      <c r="B72" s="81" t="s">
        <v>163</v>
      </c>
      <c r="C72" s="60">
        <f>C71-C69</f>
        <v>0.16156230521412798</v>
      </c>
      <c r="D72" s="81"/>
      <c r="E72" s="81"/>
      <c r="F72" s="81"/>
      <c r="G72" s="81"/>
      <c r="H72" s="81"/>
    </row>
    <row r="74" spans="2:13" ht="16" customHeight="1" x14ac:dyDescent="0.2">
      <c r="B74" s="75" t="s">
        <v>164</v>
      </c>
    </row>
    <row r="75" spans="2:13" x14ac:dyDescent="0.2">
      <c r="B75" s="75"/>
    </row>
    <row r="76" spans="2:13" ht="16" customHeight="1" x14ac:dyDescent="0.2">
      <c r="B76" s="80" t="s">
        <v>98</v>
      </c>
      <c r="C76" s="80" t="s">
        <v>134</v>
      </c>
      <c r="D76" s="80" t="s">
        <v>99</v>
      </c>
      <c r="E76" s="80" t="s">
        <v>100</v>
      </c>
      <c r="F76" s="80" t="s">
        <v>101</v>
      </c>
      <c r="G76" s="80" t="s">
        <v>102</v>
      </c>
      <c r="H76" s="80" t="s">
        <v>103</v>
      </c>
    </row>
    <row r="77" spans="2:13" ht="16" customHeight="1" x14ac:dyDescent="0.2">
      <c r="B77" s="81" t="s">
        <v>143</v>
      </c>
      <c r="C77" s="65">
        <v>0</v>
      </c>
      <c r="D77" s="81">
        <f t="shared" ref="D77:H78" si="3">D52</f>
        <v>398702105.92941183</v>
      </c>
      <c r="E77" s="81">
        <f t="shared" si="3"/>
        <v>529757559.18434858</v>
      </c>
      <c r="F77" s="81">
        <f t="shared" si="3"/>
        <v>689526485.56844485</v>
      </c>
      <c r="G77" s="81">
        <f t="shared" si="3"/>
        <v>883456800.82889307</v>
      </c>
      <c r="H77" s="81">
        <f t="shared" si="3"/>
        <v>1117955847.9320199</v>
      </c>
    </row>
    <row r="78" spans="2:13" ht="16" customHeight="1" x14ac:dyDescent="0.2">
      <c r="B78" s="81" t="s">
        <v>144</v>
      </c>
      <c r="C78" s="65">
        <v>0</v>
      </c>
      <c r="D78" s="81">
        <f t="shared" si="3"/>
        <v>0</v>
      </c>
      <c r="E78" s="81">
        <f t="shared" si="3"/>
        <v>0</v>
      </c>
      <c r="F78" s="81">
        <f t="shared" si="3"/>
        <v>0</v>
      </c>
      <c r="G78" s="81">
        <f t="shared" si="3"/>
        <v>0</v>
      </c>
      <c r="H78" s="81">
        <f t="shared" si="3"/>
        <v>8680000</v>
      </c>
    </row>
    <row r="79" spans="2:13" s="78" customFormat="1" ht="16" customHeight="1" x14ac:dyDescent="0.2">
      <c r="B79" s="80" t="s">
        <v>145</v>
      </c>
      <c r="C79" s="86">
        <v>0</v>
      </c>
      <c r="D79" s="80">
        <f>SUM(D77:D78)</f>
        <v>398702105.92941183</v>
      </c>
      <c r="E79" s="80">
        <f>SUM(E77:E78)</f>
        <v>529757559.18434858</v>
      </c>
      <c r="F79" s="80">
        <f>SUM(F77:F78)</f>
        <v>689526485.56844485</v>
      </c>
      <c r="G79" s="80">
        <f>SUM(G77:G78)</f>
        <v>883456800.82889307</v>
      </c>
      <c r="H79" s="80">
        <f>SUM(H77:H78)</f>
        <v>1126635847.9320199</v>
      </c>
      <c r="K79" s="90"/>
      <c r="L79" s="90"/>
      <c r="M79" s="90"/>
    </row>
    <row r="80" spans="2:13" ht="16" customHeight="1" x14ac:dyDescent="0.2">
      <c r="B80" s="81" t="s">
        <v>146</v>
      </c>
      <c r="C80" s="65">
        <v>0</v>
      </c>
      <c r="D80" s="81">
        <f t="shared" ref="D80:H83" si="4">D55</f>
        <v>196183438.56</v>
      </c>
      <c r="E80" s="81">
        <f t="shared" si="4"/>
        <v>262045488.60856804</v>
      </c>
      <c r="F80" s="81">
        <f t="shared" si="4"/>
        <v>342875291.32337093</v>
      </c>
      <c r="G80" s="81">
        <f t="shared" si="4"/>
        <v>441627661.16564339</v>
      </c>
      <c r="H80" s="81">
        <f t="shared" si="4"/>
        <v>561799454.74282789</v>
      </c>
    </row>
    <row r="81" spans="2:8" ht="16" customHeight="1" x14ac:dyDescent="0.2">
      <c r="B81" s="81" t="s">
        <v>147</v>
      </c>
      <c r="C81" s="65">
        <v>0</v>
      </c>
      <c r="D81" s="81">
        <f t="shared" si="4"/>
        <v>142713351.48000002</v>
      </c>
      <c r="E81" s="81">
        <f t="shared" si="4"/>
        <v>190624602.12769404</v>
      </c>
      <c r="F81" s="81">
        <f t="shared" si="4"/>
        <v>249424122.25828221</v>
      </c>
      <c r="G81" s="81">
        <f t="shared" si="4"/>
        <v>321261387.27019578</v>
      </c>
      <c r="H81" s="81">
        <f t="shared" si="4"/>
        <v>408680180.31738573</v>
      </c>
    </row>
    <row r="82" spans="2:8" ht="16" customHeight="1" x14ac:dyDescent="0.2">
      <c r="B82" s="81" t="s">
        <v>148</v>
      </c>
      <c r="C82" s="65">
        <v>0</v>
      </c>
      <c r="D82" s="81">
        <f t="shared" si="4"/>
        <v>8680000</v>
      </c>
      <c r="E82" s="81">
        <f t="shared" si="4"/>
        <v>8680000</v>
      </c>
      <c r="F82" s="81">
        <f t="shared" si="4"/>
        <v>8680000</v>
      </c>
      <c r="G82" s="81">
        <f t="shared" si="4"/>
        <v>8680000</v>
      </c>
      <c r="H82" s="81">
        <f t="shared" si="4"/>
        <v>8680000</v>
      </c>
    </row>
    <row r="83" spans="2:8" ht="16" customHeight="1" x14ac:dyDescent="0.2">
      <c r="B83" s="81" t="s">
        <v>149</v>
      </c>
      <c r="C83" s="65">
        <v>0</v>
      </c>
      <c r="D83" s="81">
        <f t="shared" si="4"/>
        <v>5260000</v>
      </c>
      <c r="E83" s="81">
        <f t="shared" si="4"/>
        <v>5260000</v>
      </c>
      <c r="F83" s="81">
        <f t="shared" si="4"/>
        <v>5260000</v>
      </c>
      <c r="G83" s="81">
        <f t="shared" si="4"/>
        <v>5260000</v>
      </c>
      <c r="H83" s="81">
        <f t="shared" si="4"/>
        <v>5260000</v>
      </c>
    </row>
    <row r="84" spans="2:8" ht="16" customHeight="1" x14ac:dyDescent="0.2">
      <c r="B84" s="81" t="s">
        <v>150</v>
      </c>
      <c r="C84" s="65">
        <v>0</v>
      </c>
      <c r="D84" s="81">
        <f>D41</f>
        <v>19640875.34025</v>
      </c>
      <c r="E84" s="81">
        <f>E41</f>
        <v>17247698.716211922</v>
      </c>
      <c r="F84" s="81">
        <f>F41</f>
        <v>14256227.936164327</v>
      </c>
      <c r="G84" s="81">
        <f>G41</f>
        <v>10516889.461104833</v>
      </c>
      <c r="H84" s="81">
        <f>H41</f>
        <v>5842716.3672804637</v>
      </c>
    </row>
    <row r="85" spans="2:8" ht="16" customHeight="1" x14ac:dyDescent="0.2">
      <c r="B85" s="80" t="s">
        <v>151</v>
      </c>
      <c r="C85" s="91">
        <v>0</v>
      </c>
      <c r="D85" s="80">
        <f>D79-D80-D81-D82-D83-D84</f>
        <v>26224440.549161807</v>
      </c>
      <c r="E85" s="80">
        <f>E79-E80-E81-E82-E83-E84</f>
        <v>45899769.731874578</v>
      </c>
      <c r="F85" s="80">
        <f>F79-F80-F81-F82-F83-F84</f>
        <v>69030844.050627381</v>
      </c>
      <c r="G85" s="80">
        <f>G79-G80-G81-G82-G83-G84</f>
        <v>96110862.931949049</v>
      </c>
      <c r="H85" s="80">
        <f>H79-H80-H81-H82-H83-H84</f>
        <v>136373496.50452587</v>
      </c>
    </row>
    <row r="86" spans="2:8" ht="16" customHeight="1" x14ac:dyDescent="0.2">
      <c r="B86" s="81" t="s">
        <v>152</v>
      </c>
      <c r="C86" s="65">
        <v>0</v>
      </c>
      <c r="D86" s="65">
        <f>IF(D85&gt;0,D85*$C$35,0)</f>
        <v>9178554.1922066323</v>
      </c>
      <c r="E86" s="65">
        <f>IF(E85&gt;0,E85*$C$35,0)</f>
        <v>16064919.4061561</v>
      </c>
      <c r="F86" s="65">
        <f>IF(F85&gt;0,F85*$C$35,0)</f>
        <v>24160795.41771958</v>
      </c>
      <c r="G86" s="65">
        <f>IF(G85&gt;0,G85*$C$35,0)</f>
        <v>33638802.026182167</v>
      </c>
      <c r="H86" s="65">
        <f>IF(H85&gt;0,H85*$C$35,0)</f>
        <v>47730723.776584052</v>
      </c>
    </row>
    <row r="87" spans="2:8" ht="16" customHeight="1" x14ac:dyDescent="0.2">
      <c r="B87" s="80" t="s">
        <v>153</v>
      </c>
      <c r="C87" s="91">
        <v>0</v>
      </c>
      <c r="D87" s="80">
        <f>D85-D86</f>
        <v>17045886.356955174</v>
      </c>
      <c r="E87" s="80">
        <f>E85-E86</f>
        <v>29834850.325718477</v>
      </c>
      <c r="F87" s="80">
        <f>F85-F86</f>
        <v>44870048.6329078</v>
      </c>
      <c r="G87" s="80">
        <f>G85-G86</f>
        <v>62472060.905766882</v>
      </c>
      <c r="H87" s="80">
        <f>H85-H86</f>
        <v>88642772.727941811</v>
      </c>
    </row>
    <row r="88" spans="2:8" ht="16" customHeight="1" x14ac:dyDescent="0.2">
      <c r="B88" s="81" t="s">
        <v>154</v>
      </c>
      <c r="C88" s="65">
        <v>0</v>
      </c>
      <c r="D88" s="81">
        <f t="shared" ref="D88:H89" si="5">D63</f>
        <v>8680000</v>
      </c>
      <c r="E88" s="81">
        <f t="shared" si="5"/>
        <v>8680000</v>
      </c>
      <c r="F88" s="81">
        <f t="shared" si="5"/>
        <v>8680000</v>
      </c>
      <c r="G88" s="81">
        <f t="shared" si="5"/>
        <v>8680000</v>
      </c>
      <c r="H88" s="81">
        <f t="shared" si="5"/>
        <v>8680000</v>
      </c>
    </row>
    <row r="89" spans="2:8" ht="16" customHeight="1" x14ac:dyDescent="0.2">
      <c r="B89" s="81" t="s">
        <v>155</v>
      </c>
      <c r="C89" s="65">
        <v>0</v>
      </c>
      <c r="D89" s="81">
        <f t="shared" si="5"/>
        <v>5260000</v>
      </c>
      <c r="E89" s="81">
        <f t="shared" si="5"/>
        <v>5260000</v>
      </c>
      <c r="F89" s="81">
        <f t="shared" si="5"/>
        <v>5260000</v>
      </c>
      <c r="G89" s="81">
        <f t="shared" si="5"/>
        <v>5260000</v>
      </c>
      <c r="H89" s="81">
        <f t="shared" si="5"/>
        <v>5260000</v>
      </c>
    </row>
    <row r="90" spans="2:8" ht="16" customHeight="1" x14ac:dyDescent="0.2">
      <c r="B90" s="81" t="s">
        <v>156</v>
      </c>
      <c r="C90" s="65">
        <v>0</v>
      </c>
      <c r="D90" s="81">
        <f>D42</f>
        <v>9572706.4961523078</v>
      </c>
      <c r="E90" s="81">
        <f>E42</f>
        <v>11965883.120190386</v>
      </c>
      <c r="F90" s="81">
        <f>F42</f>
        <v>14957353.900237981</v>
      </c>
      <c r="G90" s="81">
        <f>G42</f>
        <v>18696692.375297476</v>
      </c>
      <c r="H90" s="81">
        <f>H42</f>
        <v>23370865.469121844</v>
      </c>
    </row>
    <row r="91" spans="2:8" ht="16" customHeight="1" x14ac:dyDescent="0.2">
      <c r="B91" s="81" t="s">
        <v>157</v>
      </c>
      <c r="C91" s="65">
        <v>0</v>
      </c>
      <c r="D91" s="65">
        <v>0</v>
      </c>
      <c r="E91" s="65">
        <f>E66</f>
        <v>0</v>
      </c>
      <c r="F91" s="65">
        <f>F66</f>
        <v>0</v>
      </c>
      <c r="G91" s="65">
        <f>G66</f>
        <v>0</v>
      </c>
      <c r="H91" s="65">
        <f>H66</f>
        <v>0</v>
      </c>
    </row>
    <row r="92" spans="2:8" ht="16" customHeight="1" x14ac:dyDescent="0.2">
      <c r="B92" s="81" t="s">
        <v>165</v>
      </c>
      <c r="C92" s="81">
        <f>C46</f>
        <v>52375667.574000001</v>
      </c>
      <c r="D92" s="65"/>
      <c r="E92" s="65"/>
      <c r="F92" s="65"/>
      <c r="G92" s="65"/>
      <c r="H92" s="65"/>
    </row>
    <row r="93" spans="2:8" ht="16" customHeight="1" x14ac:dyDescent="0.2">
      <c r="B93" s="80" t="s">
        <v>166</v>
      </c>
      <c r="C93" s="80">
        <f t="shared" ref="C93:H93" si="6">C87+C88+C89-C90-C91-C92</f>
        <v>-52375667.574000001</v>
      </c>
      <c r="D93" s="80">
        <f t="shared" si="6"/>
        <v>21413179.860802867</v>
      </c>
      <c r="E93" s="80">
        <f t="shared" si="6"/>
        <v>31808967.205528092</v>
      </c>
      <c r="F93" s="80">
        <f t="shared" si="6"/>
        <v>43852694.732669815</v>
      </c>
      <c r="G93" s="80">
        <f t="shared" si="6"/>
        <v>57715368.530469403</v>
      </c>
      <c r="H93" s="80">
        <f t="shared" si="6"/>
        <v>79211907.258819968</v>
      </c>
    </row>
    <row r="94" spans="2:8" ht="16" customHeight="1" x14ac:dyDescent="0.2">
      <c r="B94" s="81" t="s">
        <v>129</v>
      </c>
      <c r="C94" s="60">
        <f>C34</f>
        <v>0.3</v>
      </c>
      <c r="D94" s="81"/>
      <c r="E94" s="81"/>
      <c r="F94" s="81"/>
      <c r="G94" s="81"/>
      <c r="H94" s="81"/>
    </row>
    <row r="95" spans="2:8" ht="16" customHeight="1" x14ac:dyDescent="0.2">
      <c r="B95" s="81" t="s">
        <v>161</v>
      </c>
      <c r="C95" s="81">
        <f>NPV(C94,D93:H93)+C93</f>
        <v>44419969.402088001</v>
      </c>
      <c r="D95" s="81"/>
      <c r="E95" s="81"/>
      <c r="F95" s="81"/>
      <c r="G95" s="81"/>
      <c r="H95" s="81"/>
    </row>
    <row r="96" spans="2:8" ht="16" customHeight="1" x14ac:dyDescent="0.2">
      <c r="B96" s="81" t="s">
        <v>162</v>
      </c>
      <c r="C96" s="60">
        <f>IRR(C93:H93)</f>
        <v>0.60562489221313554</v>
      </c>
      <c r="D96" s="81"/>
      <c r="E96" s="81"/>
      <c r="F96" s="81"/>
      <c r="G96" s="81"/>
      <c r="H96" s="81"/>
    </row>
    <row r="97" spans="2:8" ht="16" customHeight="1" x14ac:dyDescent="0.2">
      <c r="B97" s="81" t="s">
        <v>167</v>
      </c>
      <c r="C97" s="60">
        <f>C96-C94</f>
        <v>0.30562489221313555</v>
      </c>
      <c r="D97" s="81"/>
      <c r="E97" s="81"/>
      <c r="F97" s="81"/>
      <c r="G97" s="81"/>
      <c r="H97" s="81"/>
    </row>
    <row r="100" spans="2:8" ht="16" customHeight="1" x14ac:dyDescent="0.2">
      <c r="B100" s="79" t="s">
        <v>168</v>
      </c>
    </row>
    <row r="101" spans="2:8" x14ac:dyDescent="0.2">
      <c r="B101" s="78"/>
    </row>
    <row r="102" spans="2:8" ht="16" customHeight="1" x14ac:dyDescent="0.2">
      <c r="B102" s="79" t="s">
        <v>169</v>
      </c>
      <c r="E102" s="92"/>
    </row>
    <row r="103" spans="2:8" x14ac:dyDescent="0.2">
      <c r="D103" s="76">
        <v>1</v>
      </c>
      <c r="E103" s="76">
        <v>2</v>
      </c>
      <c r="F103" s="76">
        <v>3</v>
      </c>
      <c r="G103" s="76">
        <v>4</v>
      </c>
      <c r="H103" s="76">
        <v>5</v>
      </c>
    </row>
    <row r="104" spans="2:8" ht="16" customHeight="1" x14ac:dyDescent="0.2">
      <c r="B104" s="93" t="s">
        <v>170</v>
      </c>
      <c r="C104" s="82">
        <f>C70</f>
        <v>57467798.455263436</v>
      </c>
      <c r="D104" s="82">
        <f>C10</f>
        <v>215635.87418300656</v>
      </c>
      <c r="E104" s="81">
        <f>D104*0.95</f>
        <v>204854.08047385621</v>
      </c>
      <c r="F104" s="81">
        <f>E104*0.95</f>
        <v>194611.3764501634</v>
      </c>
      <c r="G104" s="81">
        <f>F104*0.95</f>
        <v>184880.80762765522</v>
      </c>
      <c r="H104" s="81">
        <f>G104*0.95</f>
        <v>175636.76724627244</v>
      </c>
    </row>
    <row r="105" spans="2:8" x14ac:dyDescent="0.2">
      <c r="B105" s="81">
        <v>1</v>
      </c>
      <c r="C105" s="82">
        <f>C13</f>
        <v>183290.49305555556</v>
      </c>
      <c r="D105" s="81">
        <f t="dataTable" ref="D105:H109" dt2D="1" dtr="1" r1="C10" r2="C13" ca="1"/>
        <v>57467798.455263436</v>
      </c>
      <c r="E105" s="81">
        <v>-3857061.4314362705</v>
      </c>
      <c r="F105" s="81">
        <v>-131814434.93794797</v>
      </c>
      <c r="G105" s="81">
        <v>-362552728.7512362</v>
      </c>
      <c r="H105" s="81">
        <v>-619843445.32484531</v>
      </c>
    </row>
    <row r="106" spans="2:8" x14ac:dyDescent="0.2">
      <c r="B106" s="81">
        <v>2</v>
      </c>
      <c r="C106" s="81">
        <f>C105*0.95</f>
        <v>174125.96840277777</v>
      </c>
      <c r="D106" s="81">
        <v>-619843445.32484531</v>
      </c>
      <c r="E106" s="81">
        <v>-676331843.6445148</v>
      </c>
      <c r="F106" s="81">
        <v>-780976601.53170204</v>
      </c>
      <c r="G106" s="81">
        <v>-919128141.33455586</v>
      </c>
      <c r="H106" s="81">
        <v>-1073177597.4702878</v>
      </c>
    </row>
    <row r="107" spans="2:8" x14ac:dyDescent="0.2">
      <c r="B107" s="81">
        <v>3</v>
      </c>
      <c r="C107" s="81">
        <f>C106*0.95</f>
        <v>165419.66998263888</v>
      </c>
      <c r="D107" s="81">
        <v>-1073177597.4702878</v>
      </c>
      <c r="E107" s="81">
        <v>-1106999288.1826849</v>
      </c>
      <c r="F107" s="81">
        <v>-1169653970.2274005</v>
      </c>
      <c r="G107" s="81">
        <v>-1252370400.3200305</v>
      </c>
      <c r="H107" s="81">
        <v>-1344605500.1780756</v>
      </c>
    </row>
    <row r="108" spans="2:8" x14ac:dyDescent="0.2">
      <c r="B108" s="81">
        <v>4</v>
      </c>
      <c r="C108" s="81">
        <f>C107*0.95</f>
        <v>157148.68648350693</v>
      </c>
      <c r="D108" s="81">
        <v>-1344605500.1780756</v>
      </c>
      <c r="E108" s="81">
        <v>-1364855795.7550833</v>
      </c>
      <c r="F108" s="81">
        <v>-1402369468.3114901</v>
      </c>
      <c r="G108" s="81">
        <v>-1451894850.4898767</v>
      </c>
      <c r="H108" s="81">
        <v>-1507119411.8692288</v>
      </c>
    </row>
    <row r="109" spans="2:8" x14ac:dyDescent="0.2">
      <c r="B109" s="81">
        <v>5</v>
      </c>
      <c r="C109" s="81">
        <f>C108*0.95</f>
        <v>149291.25215933158</v>
      </c>
      <c r="D109" s="81">
        <v>-1507119411.8692288</v>
      </c>
      <c r="E109" s="81">
        <v>-1519244011.8616788</v>
      </c>
      <c r="F109" s="81">
        <v>-1541704833.3476927</v>
      </c>
      <c r="G109" s="81">
        <v>-1571357509.0877907</v>
      </c>
      <c r="H109" s="81">
        <v>-1604422493.9388459</v>
      </c>
    </row>
    <row r="110" spans="2:8" x14ac:dyDescent="0.2">
      <c r="E110" s="92"/>
    </row>
    <row r="111" spans="2:8" x14ac:dyDescent="0.2">
      <c r="E111" s="92"/>
    </row>
    <row r="112" spans="2:8" ht="16" customHeight="1" x14ac:dyDescent="0.2">
      <c r="B112" s="79" t="s">
        <v>171</v>
      </c>
    </row>
    <row r="114" spans="2:5" ht="16" customHeight="1" x14ac:dyDescent="0.2">
      <c r="B114" s="50" t="s">
        <v>172</v>
      </c>
      <c r="C114" s="50"/>
      <c r="D114" s="50" t="s">
        <v>173</v>
      </c>
      <c r="E114" s="50" t="s">
        <v>174</v>
      </c>
    </row>
    <row r="115" spans="2:5" ht="32" customHeight="1" x14ac:dyDescent="0.2">
      <c r="B115" s="113" t="s">
        <v>175</v>
      </c>
      <c r="C115" s="113"/>
      <c r="D115" s="143">
        <f>D105</f>
        <v>57467798.455263436</v>
      </c>
      <c r="E115" s="113" t="s">
        <v>176</v>
      </c>
    </row>
    <row r="116" spans="2:5" ht="32" customHeight="1" x14ac:dyDescent="0.2">
      <c r="B116" s="113" t="s">
        <v>177</v>
      </c>
      <c r="C116" s="113"/>
      <c r="D116" s="144">
        <v>1.5</v>
      </c>
      <c r="E116" s="113" t="s">
        <v>178</v>
      </c>
    </row>
    <row r="117" spans="2:5" ht="32" customHeight="1" x14ac:dyDescent="0.2">
      <c r="B117" s="113" t="s">
        <v>179</v>
      </c>
      <c r="C117" s="113"/>
      <c r="D117" s="144">
        <v>3</v>
      </c>
      <c r="E117" s="113" t="s">
        <v>180</v>
      </c>
    </row>
    <row r="118" spans="2:5" ht="16" customHeight="1" x14ac:dyDescent="0.2">
      <c r="B118" s="113" t="s">
        <v>181</v>
      </c>
      <c r="C118" s="145">
        <v>-0.1</v>
      </c>
      <c r="D118" s="143">
        <f>D115*(1+C118)</f>
        <v>51721018.609737091</v>
      </c>
      <c r="E118" s="113" t="s">
        <v>182</v>
      </c>
    </row>
    <row r="119" spans="2:5" ht="16" customHeight="1" x14ac:dyDescent="0.2">
      <c r="B119" s="113" t="s">
        <v>183</v>
      </c>
      <c r="C119" s="145">
        <v>0.1</v>
      </c>
      <c r="D119" s="143">
        <f>D115*(1+C119)</f>
        <v>63214578.300789781</v>
      </c>
      <c r="E119" s="113" t="s">
        <v>184</v>
      </c>
    </row>
    <row r="120" spans="2:5" x14ac:dyDescent="0.2">
      <c r="B120" s="113"/>
      <c r="C120" s="113"/>
      <c r="D120" s="113"/>
      <c r="E120" s="113"/>
    </row>
    <row r="121" spans="2:5" ht="16" customHeight="1" x14ac:dyDescent="0.2">
      <c r="B121" s="146" t="s">
        <v>185</v>
      </c>
      <c r="C121" s="146"/>
      <c r="D121" s="147">
        <f>BETADIST(D115,D116,D117,D118,D119)</f>
        <v>0.78444658537882617</v>
      </c>
      <c r="E121" s="146" t="s">
        <v>186</v>
      </c>
    </row>
    <row r="122" spans="2:5" x14ac:dyDescent="0.2">
      <c r="B122" s="113"/>
      <c r="C122" s="113"/>
      <c r="D122" s="148"/>
      <c r="E122" s="113"/>
    </row>
    <row r="123" spans="2:5" ht="16" customHeight="1" x14ac:dyDescent="0.2">
      <c r="B123" s="146" t="s">
        <v>187</v>
      </c>
      <c r="C123" s="146"/>
      <c r="D123" s="147">
        <f>1-D121</f>
        <v>0.21555341462117383</v>
      </c>
      <c r="E123" s="146" t="s">
        <v>188</v>
      </c>
    </row>
  </sheetData>
  <pageMargins left="0.7" right="0.7" top="0.75" bottom="0.75" header="0.3" footer="0.3"/>
  <pageSetup paperSize="9"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topLeftCell="A11" workbookViewId="0">
      <selection activeCell="D15" sqref="D15"/>
    </sheetView>
  </sheetViews>
  <sheetFormatPr baseColWidth="10" defaultRowHeight="15" x14ac:dyDescent="0.2"/>
  <cols>
    <col min="1" max="1" width="26" bestFit="1" customWidth="1"/>
    <col min="2" max="2" width="20.5" bestFit="1" customWidth="1"/>
    <col min="4" max="4" width="37.1640625" customWidth="1"/>
  </cols>
  <sheetData>
    <row r="1" spans="1:8" ht="32" customHeight="1" x14ac:dyDescent="0.2">
      <c r="A1" t="s">
        <v>189</v>
      </c>
      <c r="B1" t="s">
        <v>190</v>
      </c>
      <c r="C1" s="188">
        <v>0.35</v>
      </c>
      <c r="D1" s="211" t="s">
        <v>191</v>
      </c>
    </row>
    <row r="2" spans="1:8" x14ac:dyDescent="0.2">
      <c r="A2" t="s">
        <v>192</v>
      </c>
      <c r="B2" t="s">
        <v>193</v>
      </c>
      <c r="C2" s="212">
        <v>0.11600000000000001</v>
      </c>
      <c r="D2" s="213" t="s">
        <v>194</v>
      </c>
    </row>
    <row r="3" spans="1:8" x14ac:dyDescent="0.2">
      <c r="A3" t="s">
        <v>195</v>
      </c>
      <c r="B3" t="s">
        <v>34</v>
      </c>
      <c r="C3" s="212">
        <v>6.8699999999999997E-2</v>
      </c>
      <c r="D3" t="s">
        <v>196</v>
      </c>
    </row>
    <row r="4" spans="1:8" x14ac:dyDescent="0.2">
      <c r="A4" t="s">
        <v>197</v>
      </c>
      <c r="B4" t="s">
        <v>198</v>
      </c>
      <c r="C4" s="214">
        <v>2.5399999999999999E-2</v>
      </c>
      <c r="D4" t="s">
        <v>196</v>
      </c>
    </row>
    <row r="5" spans="1:8" x14ac:dyDescent="0.2">
      <c r="A5" t="s">
        <v>199</v>
      </c>
      <c r="B5" t="s">
        <v>200</v>
      </c>
      <c r="C5" s="214">
        <v>1.09E-2</v>
      </c>
      <c r="D5" s="213" t="s">
        <v>201</v>
      </c>
    </row>
    <row r="6" spans="1:8" x14ac:dyDescent="0.2">
      <c r="D6" s="213" t="s">
        <v>202</v>
      </c>
    </row>
    <row r="9" spans="1:8" x14ac:dyDescent="0.2">
      <c r="A9" s="204" t="s">
        <v>203</v>
      </c>
      <c r="B9" s="204" t="s">
        <v>40</v>
      </c>
      <c r="C9" s="204">
        <f>'Análisis Financiero'!D4/'Análisis Financiero'!D5</f>
        <v>1.5</v>
      </c>
      <c r="D9" s="204" t="s">
        <v>204</v>
      </c>
    </row>
    <row r="10" spans="1:8" ht="80" customHeight="1" x14ac:dyDescent="0.2">
      <c r="A10" s="105" t="s">
        <v>205</v>
      </c>
      <c r="B10" s="204" t="s">
        <v>206</v>
      </c>
      <c r="C10" s="205">
        <v>0.35</v>
      </c>
      <c r="D10" s="215" t="s">
        <v>207</v>
      </c>
    </row>
    <row r="11" spans="1:8" ht="224" customHeight="1" x14ac:dyDescent="0.2">
      <c r="A11" s="105" t="s">
        <v>208</v>
      </c>
      <c r="B11" s="204" t="s">
        <v>209</v>
      </c>
      <c r="C11" s="216">
        <v>0.16420000000000001</v>
      </c>
      <c r="D11" s="215" t="s">
        <v>210</v>
      </c>
    </row>
    <row r="12" spans="1:8" x14ac:dyDescent="0.2">
      <c r="A12" t="s">
        <v>211</v>
      </c>
      <c r="B12" s="204" t="s">
        <v>212</v>
      </c>
      <c r="C12" s="188">
        <v>0.24460000000000001</v>
      </c>
      <c r="G12">
        <f>84/12</f>
        <v>7</v>
      </c>
      <c r="H12">
        <f>5*12</f>
        <v>60</v>
      </c>
    </row>
    <row r="15" spans="1:8" x14ac:dyDescent="0.2">
      <c r="A15" t="s">
        <v>213</v>
      </c>
      <c r="B15" s="214">
        <f>C5*(1+(1-C10)*C9)</f>
        <v>2.1527500000000001E-2</v>
      </c>
    </row>
    <row r="16" spans="1:8" x14ac:dyDescent="0.2">
      <c r="A16" t="s">
        <v>214</v>
      </c>
      <c r="B16" s="217">
        <f>C2+B15*C3+C4</f>
        <v>0.14287893925</v>
      </c>
    </row>
    <row r="17" spans="1:2" x14ac:dyDescent="0.2">
      <c r="A17" t="s">
        <v>215</v>
      </c>
      <c r="B17" s="217">
        <f>C12</f>
        <v>0.24460000000000001</v>
      </c>
    </row>
    <row r="18" spans="1:2" x14ac:dyDescent="0.2">
      <c r="A18" t="s">
        <v>216</v>
      </c>
      <c r="B18" s="217">
        <f>B17*(1-C10)</f>
        <v>0.15899000000000002</v>
      </c>
    </row>
  </sheetData>
  <hyperlinks>
    <hyperlink ref="D1" r:id="rId1" xr:uid="{00000000-0004-0000-0200-000000000000}"/>
    <hyperlink ref="D5" r:id="rId2" xr:uid="{00000000-0004-0000-0200-000001000000}"/>
    <hyperlink ref="D6" r:id="rId3" xr:uid="{00000000-0004-0000-0200-000002000000}"/>
    <hyperlink ref="D10" r:id="rId4" xr:uid="{00000000-0004-0000-0200-000003000000}"/>
    <hyperlink ref="D11" r:id="rId5" xr:uid="{00000000-0004-0000-0200-000004000000}"/>
  </hyperlinks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F35"/>
  <sheetViews>
    <sheetView zoomScale="150" zoomScaleNormal="150" workbookViewId="0">
      <selection activeCell="D25" sqref="D25"/>
    </sheetView>
  </sheetViews>
  <sheetFormatPr baseColWidth="10" defaultColWidth="8.83203125" defaultRowHeight="15" x14ac:dyDescent="0.2"/>
  <cols>
    <col min="2" max="3" width="24" customWidth="1"/>
    <col min="4" max="5" width="16.6640625" customWidth="1"/>
  </cols>
  <sheetData>
    <row r="2" spans="2:6" ht="19" x14ac:dyDescent="0.25">
      <c r="B2" s="240" t="s">
        <v>420</v>
      </c>
      <c r="C2" s="239"/>
      <c r="D2" s="239"/>
      <c r="E2" s="239"/>
      <c r="F2" s="239"/>
    </row>
    <row r="5" spans="2:6" x14ac:dyDescent="0.2">
      <c r="B5" s="238" t="s">
        <v>421</v>
      </c>
      <c r="C5" s="239"/>
      <c r="D5" s="239"/>
      <c r="E5" s="239"/>
    </row>
    <row r="7" spans="2:6" x14ac:dyDescent="0.2">
      <c r="B7" s="202" t="s">
        <v>98</v>
      </c>
      <c r="C7" s="202" t="s">
        <v>422</v>
      </c>
      <c r="D7" s="202" t="s">
        <v>115</v>
      </c>
      <c r="E7" s="202" t="s">
        <v>423</v>
      </c>
    </row>
    <row r="9" spans="2:6" x14ac:dyDescent="0.2">
      <c r="B9" t="s">
        <v>424</v>
      </c>
      <c r="C9" t="s">
        <v>425</v>
      </c>
      <c r="D9" s="222">
        <f>NPV('Análisis Financiero'!D13,'Flujo de Caja'!D52:H52)</f>
        <v>1886918765.7446074</v>
      </c>
      <c r="E9" t="s">
        <v>426</v>
      </c>
    </row>
    <row r="10" spans="2:6" x14ac:dyDescent="0.2">
      <c r="B10" t="s">
        <v>427</v>
      </c>
      <c r="C10" t="s">
        <v>428</v>
      </c>
      <c r="D10" s="222">
        <f>'Flujo de Caja'!C67+NPV('Análisis Financiero'!D13,'Flujo de Caja'!D55:H55)+NPV('Análisis Financiero'!D13,'Flujo de Caja'!D56:H56)</f>
        <v>1752856114.1609714</v>
      </c>
      <c r="E10" t="s">
        <v>429</v>
      </c>
    </row>
    <row r="12" spans="2:6" x14ac:dyDescent="0.2">
      <c r="B12" t="s">
        <v>430</v>
      </c>
      <c r="C12" t="s">
        <v>431</v>
      </c>
      <c r="D12">
        <f>D9/D10</f>
        <v>1.0764824052017568</v>
      </c>
      <c r="E12" t="s">
        <v>432</v>
      </c>
    </row>
    <row r="14" spans="2:6" x14ac:dyDescent="0.2">
      <c r="B14" s="225" t="s">
        <v>433</v>
      </c>
      <c r="C14" s="241"/>
      <c r="D14" s="241"/>
      <c r="E14" s="226"/>
    </row>
    <row r="15" spans="2:6" x14ac:dyDescent="0.2">
      <c r="B15" t="s">
        <v>434</v>
      </c>
      <c r="C15" t="s">
        <v>435</v>
      </c>
      <c r="D15" t="s">
        <v>436</v>
      </c>
      <c r="E15" t="s">
        <v>437</v>
      </c>
    </row>
    <row r="16" spans="2:6" x14ac:dyDescent="0.2">
      <c r="B16" t="s">
        <v>438</v>
      </c>
      <c r="C16" t="s">
        <v>435</v>
      </c>
      <c r="D16" t="s">
        <v>439</v>
      </c>
      <c r="E16" t="s">
        <v>440</v>
      </c>
    </row>
    <row r="17" spans="2:5" x14ac:dyDescent="0.2">
      <c r="B17" t="s">
        <v>441</v>
      </c>
      <c r="C17" t="s">
        <v>435</v>
      </c>
      <c r="D17" t="s">
        <v>442</v>
      </c>
      <c r="E17" t="s">
        <v>443</v>
      </c>
    </row>
    <row r="20" spans="2:5" x14ac:dyDescent="0.2">
      <c r="B20" s="238" t="s">
        <v>444</v>
      </c>
      <c r="C20" s="239"/>
      <c r="D20" s="239"/>
      <c r="E20" s="239"/>
    </row>
    <row r="22" spans="2:5" x14ac:dyDescent="0.2">
      <c r="B22" s="202" t="s">
        <v>98</v>
      </c>
      <c r="C22" s="202" t="s">
        <v>422</v>
      </c>
      <c r="D22" s="202" t="s">
        <v>115</v>
      </c>
      <c r="E22" s="202" t="s">
        <v>423</v>
      </c>
    </row>
    <row r="24" spans="2:5" x14ac:dyDescent="0.2">
      <c r="B24" t="s">
        <v>445</v>
      </c>
      <c r="C24" t="s">
        <v>176</v>
      </c>
      <c r="D24" s="222">
        <f>'Flujo de Caja'!C70</f>
        <v>57467798.455263436</v>
      </c>
      <c r="E24" t="s">
        <v>446</v>
      </c>
    </row>
    <row r="25" spans="2:5" x14ac:dyDescent="0.2">
      <c r="B25" t="s">
        <v>9</v>
      </c>
      <c r="C25" t="s">
        <v>447</v>
      </c>
      <c r="D25">
        <f>'Análisis Financiero'!D13</f>
        <v>0.2175</v>
      </c>
      <c r="E25" t="s">
        <v>448</v>
      </c>
    </row>
    <row r="26" spans="2:5" x14ac:dyDescent="0.2">
      <c r="B26" t="s">
        <v>449</v>
      </c>
      <c r="C26" t="s">
        <v>450</v>
      </c>
      <c r="D26">
        <v>5</v>
      </c>
      <c r="E26" t="s">
        <v>451</v>
      </c>
    </row>
    <row r="28" spans="2:5" x14ac:dyDescent="0.2">
      <c r="B28" t="s">
        <v>452</v>
      </c>
      <c r="C28" t="s">
        <v>453</v>
      </c>
      <c r="D28">
        <f>-PMT(D24,D25,D23)</f>
        <v>0</v>
      </c>
      <c r="E28" t="s">
        <v>454</v>
      </c>
    </row>
    <row r="30" spans="2:5" x14ac:dyDescent="0.2">
      <c r="B30" t="s">
        <v>433</v>
      </c>
    </row>
    <row r="31" spans="2:5" x14ac:dyDescent="0.2">
      <c r="B31" t="s">
        <v>455</v>
      </c>
      <c r="C31" t="s">
        <v>435</v>
      </c>
      <c r="D31" t="s">
        <v>436</v>
      </c>
      <c r="E31" t="s">
        <v>456</v>
      </c>
    </row>
    <row r="32" spans="2:5" x14ac:dyDescent="0.2">
      <c r="B32" t="s">
        <v>457</v>
      </c>
      <c r="C32" t="s">
        <v>435</v>
      </c>
      <c r="D32" t="s">
        <v>439</v>
      </c>
      <c r="E32" t="s">
        <v>458</v>
      </c>
    </row>
    <row r="33" spans="2:5" x14ac:dyDescent="0.2">
      <c r="B33" t="s">
        <v>459</v>
      </c>
      <c r="C33" t="s">
        <v>435</v>
      </c>
      <c r="D33" t="s">
        <v>442</v>
      </c>
      <c r="E33" t="s">
        <v>460</v>
      </c>
    </row>
    <row r="35" spans="2:5" x14ac:dyDescent="0.2">
      <c r="B35" t="s">
        <v>461</v>
      </c>
    </row>
  </sheetData>
  <mergeCells count="4">
    <mergeCell ref="B2:F2"/>
    <mergeCell ref="B5:E5"/>
    <mergeCell ref="B20:E20"/>
    <mergeCell ref="B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1"/>
  <sheetViews>
    <sheetView zoomScaleNormal="100" workbookViewId="0">
      <selection activeCell="H4" sqref="H4"/>
    </sheetView>
  </sheetViews>
  <sheetFormatPr baseColWidth="10" defaultColWidth="11.5" defaultRowHeight="15" x14ac:dyDescent="0.2"/>
  <cols>
    <col min="1" max="6" width="11.5" style="23" customWidth="1"/>
    <col min="7" max="16384" width="11.5" style="23"/>
  </cols>
  <sheetData>
    <row r="2" spans="2:18" x14ac:dyDescent="0.2">
      <c r="B2" s="55" t="s">
        <v>217</v>
      </c>
    </row>
    <row r="4" spans="2:18" x14ac:dyDescent="0.2">
      <c r="B4" s="1" t="s">
        <v>47</v>
      </c>
      <c r="C4" s="13" t="s">
        <v>218</v>
      </c>
      <c r="D4" s="13" t="s">
        <v>219</v>
      </c>
      <c r="F4" s="16" t="s">
        <v>47</v>
      </c>
      <c r="G4" s="14" t="s">
        <v>218</v>
      </c>
      <c r="H4" s="15" t="s">
        <v>220</v>
      </c>
      <c r="J4" s="1" t="s">
        <v>47</v>
      </c>
      <c r="K4" s="13" t="s">
        <v>218</v>
      </c>
      <c r="L4" s="13" t="s">
        <v>221</v>
      </c>
      <c r="N4" s="165" t="s">
        <v>47</v>
      </c>
      <c r="O4" s="166" t="s">
        <v>218</v>
      </c>
      <c r="P4" s="166" t="s">
        <v>222</v>
      </c>
    </row>
    <row r="5" spans="2:18" x14ac:dyDescent="0.2">
      <c r="B5" s="3">
        <v>2019</v>
      </c>
      <c r="C5" s="10">
        <v>1</v>
      </c>
      <c r="D5" s="9">
        <v>3.7999999999999999E-2</v>
      </c>
      <c r="E5" s="98"/>
      <c r="F5" s="3">
        <v>2019</v>
      </c>
      <c r="G5" s="10">
        <v>1</v>
      </c>
      <c r="H5" s="9">
        <v>2.3E-2</v>
      </c>
      <c r="J5" s="3">
        <v>2019</v>
      </c>
      <c r="K5" s="10">
        <v>1</v>
      </c>
      <c r="L5" s="9"/>
      <c r="N5" s="167">
        <v>2019</v>
      </c>
      <c r="O5" s="168">
        <v>1</v>
      </c>
      <c r="P5" s="169">
        <v>4.2500000000000003E-2</v>
      </c>
      <c r="Q5" s="24"/>
    </row>
    <row r="6" spans="2:18" x14ac:dyDescent="0.2">
      <c r="B6" s="3">
        <v>2020</v>
      </c>
      <c r="C6" s="10">
        <v>2</v>
      </c>
      <c r="D6" s="9">
        <v>1.61E-2</v>
      </c>
      <c r="E6" s="98"/>
      <c r="F6" s="3">
        <v>2020</v>
      </c>
      <c r="G6" s="10">
        <v>2</v>
      </c>
      <c r="H6" s="9">
        <v>1.7000000000000001E-2</v>
      </c>
      <c r="J6" s="3">
        <v>2020</v>
      </c>
      <c r="K6" s="10">
        <v>2</v>
      </c>
      <c r="L6" s="9">
        <v>-5.5E-2</v>
      </c>
      <c r="N6" s="167">
        <v>2020</v>
      </c>
      <c r="O6" s="168">
        <v>2</v>
      </c>
      <c r="P6" s="169">
        <v>2.75E-2</v>
      </c>
      <c r="Q6" s="24"/>
    </row>
    <row r="7" spans="2:18" x14ac:dyDescent="0.2">
      <c r="B7" s="3">
        <v>2021</v>
      </c>
      <c r="C7" s="10">
        <v>3</v>
      </c>
      <c r="D7" s="9">
        <v>5.62E-2</v>
      </c>
      <c r="E7" s="98"/>
      <c r="F7" s="3">
        <v>2021</v>
      </c>
      <c r="G7" s="10">
        <v>3</v>
      </c>
      <c r="H7" s="9">
        <v>0.159</v>
      </c>
      <c r="J7" s="3">
        <v>2021</v>
      </c>
      <c r="K7" s="10">
        <v>3</v>
      </c>
      <c r="L7" s="9">
        <v>0.17299999999999999</v>
      </c>
      <c r="N7" s="167">
        <v>2021</v>
      </c>
      <c r="O7" s="168">
        <v>3</v>
      </c>
      <c r="P7" s="169">
        <v>1.7500000000000002E-2</v>
      </c>
      <c r="Q7" s="24"/>
    </row>
    <row r="8" spans="2:18" x14ac:dyDescent="0.2">
      <c r="B8" s="3">
        <v>2022</v>
      </c>
      <c r="C8" s="10">
        <v>4</v>
      </c>
      <c r="D8" s="9">
        <v>0.13120000000000001</v>
      </c>
      <c r="E8" s="98"/>
      <c r="F8" s="3">
        <v>2022</v>
      </c>
      <c r="G8" s="10">
        <v>4</v>
      </c>
      <c r="H8" s="9">
        <v>0.216</v>
      </c>
      <c r="J8" s="3">
        <v>2022</v>
      </c>
      <c r="K8" s="10">
        <v>4</v>
      </c>
      <c r="L8" s="9">
        <v>0.17100000000000001</v>
      </c>
      <c r="N8" s="167">
        <v>2022</v>
      </c>
      <c r="O8" s="168">
        <v>4</v>
      </c>
      <c r="P8" s="169">
        <v>7.7499999999999999E-2</v>
      </c>
      <c r="Q8" s="24"/>
    </row>
    <row r="9" spans="2:18" x14ac:dyDescent="0.2">
      <c r="B9" s="3">
        <v>2023</v>
      </c>
      <c r="C9" s="56">
        <v>5</v>
      </c>
      <c r="D9" s="9">
        <v>9.2799999999999994E-2</v>
      </c>
      <c r="E9" s="98"/>
      <c r="F9" s="3">
        <v>2023</v>
      </c>
      <c r="G9" s="56">
        <v>5</v>
      </c>
      <c r="H9" s="9">
        <v>-2.9000000000000001E-2</v>
      </c>
      <c r="I9" s="24">
        <v>7.2099999999999997E-2</v>
      </c>
      <c r="J9" s="3">
        <v>2023</v>
      </c>
      <c r="K9" s="56">
        <v>5</v>
      </c>
      <c r="L9" s="9">
        <v>7.6999999999999999E-2</v>
      </c>
      <c r="N9" s="167">
        <v>2023</v>
      </c>
      <c r="O9" s="170">
        <v>5</v>
      </c>
      <c r="P9" s="169">
        <v>0.1275</v>
      </c>
      <c r="Q9" s="24"/>
      <c r="R9" s="24"/>
    </row>
    <row r="10" spans="2:18" x14ac:dyDescent="0.2">
      <c r="B10" s="3">
        <v>2024</v>
      </c>
      <c r="C10" s="56">
        <v>6</v>
      </c>
      <c r="D10" s="9">
        <v>5.1999999999999998E-2</v>
      </c>
      <c r="E10" s="98"/>
      <c r="F10" s="3">
        <v>2024</v>
      </c>
      <c r="G10" s="56">
        <v>6</v>
      </c>
      <c r="H10" s="9">
        <v>3.4000000000000002E-2</v>
      </c>
      <c r="I10" s="24"/>
      <c r="J10" s="3">
        <v>2024</v>
      </c>
      <c r="K10" s="56">
        <v>6</v>
      </c>
      <c r="L10" s="9">
        <v>0.06</v>
      </c>
      <c r="N10" s="167">
        <v>2024</v>
      </c>
      <c r="O10" s="170">
        <v>6</v>
      </c>
      <c r="P10" s="169">
        <v>0.10249999999999999</v>
      </c>
      <c r="Q10" s="24"/>
      <c r="R10" s="24"/>
    </row>
    <row r="11" spans="2:18" s="22" customFormat="1" x14ac:dyDescent="0.2">
      <c r="B11" s="25"/>
      <c r="C11" s="25" t="s">
        <v>223</v>
      </c>
      <c r="D11" s="101">
        <f>AVERAGE(D5:D10)</f>
        <v>6.4383333333333334E-2</v>
      </c>
      <c r="F11" s="25"/>
      <c r="G11" s="25" t="s">
        <v>223</v>
      </c>
      <c r="H11" s="101">
        <f>AVERAGE(H5:H10)</f>
        <v>7.0000000000000007E-2</v>
      </c>
      <c r="J11" s="25"/>
      <c r="K11" s="25" t="s">
        <v>223</v>
      </c>
      <c r="L11" s="101">
        <f>AVERAGE(L5:L10)</f>
        <v>8.5200000000000012E-2</v>
      </c>
      <c r="N11" s="171"/>
      <c r="O11" s="171" t="s">
        <v>223</v>
      </c>
      <c r="P11" s="172">
        <f>AVERAGE(P5:P10)</f>
        <v>6.5833333333333327E-2</v>
      </c>
    </row>
  </sheetData>
  <pageMargins left="0.7" right="0.7" top="0.75" bottom="0.75" header="0.3" footer="0.3"/>
  <pageSetup paperSize="9" orientation="portrait" horizontalDpi="1200" verticalDpi="12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4"/>
  <sheetViews>
    <sheetView zoomScale="80" zoomScaleNormal="100" workbookViewId="0">
      <selection activeCell="D6" sqref="D6:D8"/>
    </sheetView>
  </sheetViews>
  <sheetFormatPr baseColWidth="10" defaultColWidth="11.5" defaultRowHeight="15" x14ac:dyDescent="0.2"/>
  <cols>
    <col min="1" max="1" width="11.5" style="27" customWidth="1"/>
    <col min="2" max="2" width="22.33203125" style="26" customWidth="1"/>
    <col min="3" max="3" width="21.83203125" style="27" customWidth="1"/>
    <col min="4" max="4" width="15.5" style="27" customWidth="1"/>
    <col min="5" max="5" width="20.1640625" style="27" customWidth="1"/>
    <col min="6" max="6" width="16" style="27" bestFit="1" customWidth="1"/>
    <col min="7" max="7" width="10.1640625" style="27" customWidth="1"/>
    <col min="8" max="8" width="10" style="27" customWidth="1"/>
    <col min="9" max="9" width="10.83203125" style="27" customWidth="1"/>
    <col min="10" max="10" width="11.33203125" style="27" customWidth="1"/>
    <col min="11" max="11" width="18.6640625" style="27" customWidth="1"/>
    <col min="12" max="12" width="22.6640625" style="27" customWidth="1"/>
    <col min="13" max="13" width="11.5" style="27" customWidth="1"/>
    <col min="14" max="16384" width="11.5" style="27"/>
  </cols>
  <sheetData>
    <row r="1" spans="2:15" s="31" customFormat="1" ht="15" customHeight="1" x14ac:dyDescent="0.2">
      <c r="D1" s="54"/>
      <c r="E1" s="54"/>
    </row>
    <row r="2" spans="2:15" s="31" customFormat="1" ht="15" customHeight="1" x14ac:dyDescent="0.2">
      <c r="B2" s="96" t="s">
        <v>224</v>
      </c>
      <c r="D2" s="54"/>
      <c r="E2" s="54"/>
    </row>
    <row r="3" spans="2:15" s="31" customFormat="1" ht="15" customHeight="1" x14ac:dyDescent="0.2">
      <c r="D3" s="54"/>
      <c r="E3" s="54"/>
    </row>
    <row r="4" spans="2:15" ht="16" customHeight="1" x14ac:dyDescent="0.2">
      <c r="B4" s="39" t="s">
        <v>225</v>
      </c>
      <c r="C4" s="39" t="s">
        <v>226</v>
      </c>
      <c r="D4" s="39" t="s">
        <v>227</v>
      </c>
      <c r="E4" s="39" t="s">
        <v>138</v>
      </c>
    </row>
    <row r="5" spans="2:15" ht="32" customHeight="1" x14ac:dyDescent="0.2">
      <c r="B5" s="38" t="s">
        <v>228</v>
      </c>
      <c r="C5" s="40" t="s">
        <v>229</v>
      </c>
      <c r="D5" s="129">
        <v>12000</v>
      </c>
      <c r="E5" s="40" t="s">
        <v>230</v>
      </c>
    </row>
    <row r="6" spans="2:15" ht="30.75" customHeight="1" x14ac:dyDescent="0.2">
      <c r="B6" s="38" t="s">
        <v>231</v>
      </c>
      <c r="C6" s="40" t="s">
        <v>232</v>
      </c>
      <c r="D6" s="46">
        <v>0.64600000000000002</v>
      </c>
      <c r="E6" s="40" t="s">
        <v>233</v>
      </c>
      <c r="N6" s="37"/>
    </row>
    <row r="7" spans="2:15" ht="80" customHeight="1" x14ac:dyDescent="0.2">
      <c r="B7" s="38" t="s">
        <v>234</v>
      </c>
      <c r="C7" s="180" t="s">
        <v>235</v>
      </c>
      <c r="D7" s="46">
        <f>24.6%*50%</f>
        <v>0.12300000000000001</v>
      </c>
      <c r="E7" s="40" t="s">
        <v>233</v>
      </c>
      <c r="N7" s="37"/>
    </row>
    <row r="8" spans="2:15" ht="75" customHeight="1" x14ac:dyDescent="0.2">
      <c r="B8" s="179" t="s">
        <v>236</v>
      </c>
      <c r="C8" s="178" t="s">
        <v>237</v>
      </c>
      <c r="D8" s="46">
        <v>0.7</v>
      </c>
      <c r="E8" s="40" t="s">
        <v>238</v>
      </c>
    </row>
    <row r="9" spans="2:15" ht="15" customHeight="1" x14ac:dyDescent="0.2">
      <c r="B9" s="38" t="s">
        <v>239</v>
      </c>
      <c r="C9" s="177" t="s">
        <v>240</v>
      </c>
      <c r="D9" s="47">
        <f>D5*(D6+D7)*D8</f>
        <v>6459.5999999999995</v>
      </c>
      <c r="E9" s="40"/>
      <c r="H9" s="242" t="s">
        <v>241</v>
      </c>
      <c r="I9" s="236"/>
      <c r="J9" s="236"/>
      <c r="K9" s="236"/>
      <c r="L9" s="228"/>
    </row>
    <row r="10" spans="2:15" s="31" customFormat="1" ht="16" customHeight="1" x14ac:dyDescent="0.2">
      <c r="B10" s="39" t="s">
        <v>218</v>
      </c>
      <c r="C10" s="39" t="s">
        <v>47</v>
      </c>
      <c r="D10" s="39" t="s">
        <v>242</v>
      </c>
      <c r="E10" s="39" t="s">
        <v>243</v>
      </c>
      <c r="G10" s="26"/>
      <c r="H10" s="182" t="s">
        <v>47</v>
      </c>
      <c r="I10" s="182" t="s">
        <v>244</v>
      </c>
      <c r="J10" s="182" t="s">
        <v>245</v>
      </c>
      <c r="K10" s="182" t="s">
        <v>246</v>
      </c>
      <c r="L10" s="182" t="s">
        <v>247</v>
      </c>
      <c r="M10" s="31">
        <f>58.3%+16.7%</f>
        <v>0.75</v>
      </c>
      <c r="N10" s="186">
        <f>40%*75%</f>
        <v>0.30000000000000004</v>
      </c>
    </row>
    <row r="11" spans="2:15" ht="16" customHeight="1" x14ac:dyDescent="0.2">
      <c r="B11" s="39" t="s">
        <v>248</v>
      </c>
      <c r="C11" s="39">
        <v>2025</v>
      </c>
      <c r="D11" s="39"/>
      <c r="E11" s="50">
        <f>D9</f>
        <v>6459.5999999999995</v>
      </c>
      <c r="F11" s="32"/>
      <c r="G11" s="97"/>
      <c r="H11" s="183">
        <v>2025</v>
      </c>
      <c r="I11" s="183">
        <v>0</v>
      </c>
      <c r="J11" s="185">
        <f t="shared" ref="J11:J16" si="0">E11</f>
        <v>6459.5999999999995</v>
      </c>
      <c r="K11" s="184">
        <f t="shared" ref="K11:K16" si="1">J11*48.5%</f>
        <v>3132.9059999999995</v>
      </c>
      <c r="L11" s="184">
        <f t="shared" ref="L11:L16" si="2">J11*51.5%</f>
        <v>3326.694</v>
      </c>
    </row>
    <row r="12" spans="2:15" x14ac:dyDescent="0.2">
      <c r="B12" s="35">
        <v>1</v>
      </c>
      <c r="C12" s="40">
        <v>2026</v>
      </c>
      <c r="D12" s="57">
        <f>'Indicadores Macro'!$D$11</f>
        <v>6.4383333333333334E-2</v>
      </c>
      <c r="E12" s="41">
        <f>E11*(1+D12)</f>
        <v>6875.4905799999988</v>
      </c>
      <c r="F12" s="32"/>
      <c r="G12" s="97"/>
      <c r="H12" s="183">
        <v>2026</v>
      </c>
      <c r="I12" s="183">
        <v>1</v>
      </c>
      <c r="J12" s="185">
        <f t="shared" si="0"/>
        <v>6875.4905799999988</v>
      </c>
      <c r="K12" s="184">
        <f t="shared" si="1"/>
        <v>3334.6129312999992</v>
      </c>
      <c r="L12" s="184">
        <f t="shared" si="2"/>
        <v>3540.8776486999996</v>
      </c>
    </row>
    <row r="13" spans="2:15" x14ac:dyDescent="0.2">
      <c r="B13" s="35">
        <v>2</v>
      </c>
      <c r="C13" s="40">
        <v>2027</v>
      </c>
      <c r="D13" s="57">
        <f>'Indicadores Macro'!$D$11</f>
        <v>6.4383333333333334E-2</v>
      </c>
      <c r="E13" s="41">
        <f>E12*(1+D13)</f>
        <v>7318.1575818423316</v>
      </c>
      <c r="F13" s="32"/>
      <c r="G13" s="97"/>
      <c r="H13" s="183">
        <v>2027</v>
      </c>
      <c r="I13" s="183">
        <v>2</v>
      </c>
      <c r="J13" s="185">
        <f t="shared" si="0"/>
        <v>7318.1575818423316</v>
      </c>
      <c r="K13" s="184">
        <f t="shared" si="1"/>
        <v>3549.3064271935309</v>
      </c>
      <c r="L13" s="184">
        <f t="shared" si="2"/>
        <v>3768.8511546488007</v>
      </c>
    </row>
    <row r="14" spans="2:15" x14ac:dyDescent="0.2">
      <c r="B14" s="35">
        <v>3</v>
      </c>
      <c r="C14" s="40">
        <v>2028</v>
      </c>
      <c r="D14" s="57">
        <f>'Indicadores Macro'!$D$11</f>
        <v>6.4383333333333334E-2</v>
      </c>
      <c r="E14" s="41">
        <f>E13*(1+D14)</f>
        <v>7789.3249608199467</v>
      </c>
      <c r="F14" s="32"/>
      <c r="G14" s="97"/>
      <c r="H14" s="183">
        <v>2028</v>
      </c>
      <c r="I14" s="183">
        <v>3</v>
      </c>
      <c r="J14" s="185">
        <f t="shared" si="0"/>
        <v>7789.3249608199467</v>
      </c>
      <c r="K14" s="184">
        <f t="shared" si="1"/>
        <v>3777.8226059976741</v>
      </c>
      <c r="L14" s="184">
        <f t="shared" si="2"/>
        <v>4011.5023548222725</v>
      </c>
      <c r="O14" s="27">
        <f>100-51.5</f>
        <v>48.5</v>
      </c>
    </row>
    <row r="15" spans="2:15" x14ac:dyDescent="0.2">
      <c r="B15" s="35">
        <v>4</v>
      </c>
      <c r="C15" s="40">
        <v>2029</v>
      </c>
      <c r="D15" s="57">
        <f>'Indicadores Macro'!$D$11</f>
        <v>6.4383333333333334E-2</v>
      </c>
      <c r="E15" s="41">
        <f>E14*(1+D15)</f>
        <v>8290.8276662140706</v>
      </c>
      <c r="F15" s="32"/>
      <c r="G15" s="33"/>
      <c r="H15" s="183">
        <v>2029</v>
      </c>
      <c r="I15" s="183">
        <v>4</v>
      </c>
      <c r="J15" s="185">
        <f t="shared" si="0"/>
        <v>8290.8276662140706</v>
      </c>
      <c r="K15" s="184">
        <f t="shared" si="1"/>
        <v>4021.0514181138242</v>
      </c>
      <c r="L15" s="184">
        <f t="shared" si="2"/>
        <v>4269.7762481002464</v>
      </c>
    </row>
    <row r="16" spans="2:15" x14ac:dyDescent="0.2">
      <c r="B16" s="35">
        <v>5</v>
      </c>
      <c r="C16" s="40">
        <v>2030</v>
      </c>
      <c r="D16" s="57">
        <f>'Indicadores Macro'!$D$11</f>
        <v>6.4383333333333334E-2</v>
      </c>
      <c r="E16" s="41">
        <f>E15*(1+D16)</f>
        <v>8824.6187874571533</v>
      </c>
      <c r="F16" s="181">
        <f>E16/D5</f>
        <v>0.73538489895476278</v>
      </c>
      <c r="G16" s="33"/>
      <c r="H16" s="183">
        <v>2030</v>
      </c>
      <c r="I16" s="183">
        <v>5</v>
      </c>
      <c r="J16" s="185">
        <f t="shared" si="0"/>
        <v>8824.6187874571533</v>
      </c>
      <c r="K16" s="184">
        <f t="shared" si="1"/>
        <v>4279.9401119167196</v>
      </c>
      <c r="L16" s="184">
        <f t="shared" si="2"/>
        <v>4544.6786755404337</v>
      </c>
    </row>
    <row r="17" spans="2:12" x14ac:dyDescent="0.2">
      <c r="B17" s="96"/>
      <c r="D17" s="34"/>
      <c r="E17" s="33"/>
    </row>
    <row r="19" spans="2:12" ht="16" customHeight="1" x14ac:dyDescent="0.2">
      <c r="B19" s="39" t="s">
        <v>249</v>
      </c>
      <c r="C19" s="114" t="s">
        <v>250</v>
      </c>
      <c r="D19" s="38" t="s">
        <v>251</v>
      </c>
      <c r="E19" s="128">
        <f>D12</f>
        <v>6.4383333333333334E-2</v>
      </c>
    </row>
    <row r="20" spans="2:12" x14ac:dyDescent="0.2">
      <c r="B20" s="58"/>
      <c r="C20" s="115"/>
      <c r="D20" s="116"/>
      <c r="E20" s="116"/>
    </row>
    <row r="21" spans="2:12" x14ac:dyDescent="0.2">
      <c r="F21" s="33"/>
      <c r="G21" s="33"/>
      <c r="H21" s="33"/>
      <c r="I21" s="33"/>
      <c r="J21" s="33"/>
      <c r="K21" s="33"/>
      <c r="L21" s="36"/>
    </row>
    <row r="22" spans="2:12" ht="16" customHeight="1" x14ac:dyDescent="0.2">
      <c r="B22" s="58" t="s">
        <v>252</v>
      </c>
      <c r="C22" s="127">
        <v>53000</v>
      </c>
      <c r="D22" s="117" t="s">
        <v>253</v>
      </c>
      <c r="E22" s="41">
        <f>L11</f>
        <v>3326.694</v>
      </c>
      <c r="F22" s="33"/>
    </row>
    <row r="23" spans="2:12" ht="16" customHeight="1" x14ac:dyDescent="0.2">
      <c r="B23" s="58" t="s">
        <v>254</v>
      </c>
      <c r="C23" s="127">
        <f>C22/(1+E19)</f>
        <v>49794.090474922887</v>
      </c>
      <c r="D23" s="118" t="s">
        <v>255</v>
      </c>
      <c r="E23" s="41">
        <f>L12</f>
        <v>3540.8776486999996</v>
      </c>
    </row>
    <row r="24" spans="2:12" s="108" customFormat="1" x14ac:dyDescent="0.2">
      <c r="B24" s="26"/>
      <c r="C24" s="27"/>
      <c r="D24" s="27"/>
      <c r="E24" s="27"/>
      <c r="F24" s="27"/>
    </row>
    <row r="25" spans="2:12" s="26" customFormat="1" ht="16" customHeight="1" x14ac:dyDescent="0.2">
      <c r="B25" s="115"/>
      <c r="C25" s="115" t="s">
        <v>256</v>
      </c>
      <c r="D25" s="115" t="s">
        <v>257</v>
      </c>
      <c r="E25" s="119" t="s">
        <v>258</v>
      </c>
      <c r="F25" s="120" t="s">
        <v>259</v>
      </c>
    </row>
    <row r="26" spans="2:12" ht="16" customHeight="1" x14ac:dyDescent="0.2">
      <c r="B26" s="58" t="s">
        <v>47</v>
      </c>
      <c r="C26" s="58" t="s">
        <v>260</v>
      </c>
      <c r="D26" s="58" t="s">
        <v>261</v>
      </c>
      <c r="E26" s="121" t="s">
        <v>243</v>
      </c>
      <c r="F26" s="122" t="s">
        <v>262</v>
      </c>
    </row>
    <row r="27" spans="2:12" x14ac:dyDescent="0.2">
      <c r="B27" s="116">
        <f>C12</f>
        <v>2026</v>
      </c>
      <c r="C27" s="123">
        <f>SLOPE($C$22:$C$23,$E$22:$E$23)</f>
        <v>-14.968040485515919</v>
      </c>
      <c r="D27" s="41">
        <f>INTERCEPT($C$22:$C$23,$E$22:$E$23)</f>
        <v>102794.09047492288</v>
      </c>
      <c r="E27" s="112">
        <f>L12</f>
        <v>3540.8776486999996</v>
      </c>
      <c r="F27" s="112">
        <f>C27*E27+D27</f>
        <v>49794.090474922872</v>
      </c>
    </row>
    <row r="28" spans="2:12" s="31" customFormat="1" x14ac:dyDescent="0.2">
      <c r="B28" s="116">
        <f>C13</f>
        <v>2027</v>
      </c>
      <c r="C28" s="123">
        <f>SLOPE($C$22:$C$23,$E$22:$E$23)</f>
        <v>-14.968040485515919</v>
      </c>
      <c r="D28" s="41">
        <f>INTERCEPT($C$22:$C$23,$E$22:$E$23)</f>
        <v>102794.09047492288</v>
      </c>
      <c r="E28" s="112">
        <f>L13</f>
        <v>3768.8511546488007</v>
      </c>
      <c r="F28" s="112">
        <f>C28*E28+D28</f>
        <v>46381.773808256214</v>
      </c>
      <c r="G28" s="27"/>
    </row>
    <row r="29" spans="2:12" x14ac:dyDescent="0.2">
      <c r="B29" s="116">
        <f>C14</f>
        <v>2028</v>
      </c>
      <c r="C29" s="123">
        <f>SLOPE($C$22:$C$23,$E$22:$E$23)</f>
        <v>-14.968040485515919</v>
      </c>
      <c r="D29" s="41">
        <f>INTERCEPT($C$22:$C$23,$E$22:$E$23)</f>
        <v>102794.09047492288</v>
      </c>
      <c r="E29" s="112">
        <f>L14</f>
        <v>4011.5023548222725</v>
      </c>
      <c r="F29" s="112">
        <f>C29*E29+D29</f>
        <v>42749.76082020066</v>
      </c>
    </row>
    <row r="30" spans="2:12" x14ac:dyDescent="0.2">
      <c r="B30" s="116">
        <f>C15</f>
        <v>2029</v>
      </c>
      <c r="C30" s="123">
        <f>SLOPE($C$22:$C$23,$E$22:$E$23)</f>
        <v>-14.968040485515919</v>
      </c>
      <c r="D30" s="41">
        <f>INTERCEPT($C$22:$C$23,$E$22:$E$23)</f>
        <v>102794.09047492288</v>
      </c>
      <c r="E30" s="112">
        <f>L15</f>
        <v>4269.7762481002464</v>
      </c>
      <c r="F30" s="112">
        <f>C30*E30+D30</f>
        <v>38883.906729264127</v>
      </c>
    </row>
    <row r="31" spans="2:12" x14ac:dyDescent="0.2">
      <c r="B31" s="116">
        <f>C16</f>
        <v>2030</v>
      </c>
      <c r="C31" s="123">
        <f>SLOPE($C$22:$C$23,$E$22:$E$23)</f>
        <v>-14.968040485515919</v>
      </c>
      <c r="D31" s="41">
        <f>INTERCEPT($C$22:$C$23,$E$22:$E$23)</f>
        <v>102794.09047492288</v>
      </c>
      <c r="E31" s="112">
        <f>L16</f>
        <v>4544.6786755404337</v>
      </c>
      <c r="F31" s="112">
        <f>C31*E31+D31</f>
        <v>34769.156065772797</v>
      </c>
    </row>
    <row r="34" spans="1:8" x14ac:dyDescent="0.2">
      <c r="B34" s="96" t="s">
        <v>263</v>
      </c>
      <c r="C34" s="106"/>
      <c r="D34" s="105"/>
      <c r="E34" s="107"/>
    </row>
    <row r="36" spans="1:8" x14ac:dyDescent="0.2">
      <c r="B36" s="189" t="s">
        <v>47</v>
      </c>
      <c r="C36" s="189" t="s">
        <v>243</v>
      </c>
      <c r="D36" s="189" t="s">
        <v>262</v>
      </c>
      <c r="E36" s="189" t="s">
        <v>264</v>
      </c>
      <c r="F36" s="189" t="s">
        <v>265</v>
      </c>
      <c r="G36" s="189" t="s">
        <v>266</v>
      </c>
      <c r="H36" s="189" t="s">
        <v>267</v>
      </c>
    </row>
    <row r="37" spans="1:8" x14ac:dyDescent="0.2">
      <c r="B37" s="190">
        <f>B27</f>
        <v>2026</v>
      </c>
      <c r="C37" s="191">
        <f t="shared" ref="C37:D41" si="3">E27</f>
        <v>3540.8776486999996</v>
      </c>
      <c r="D37" s="191">
        <f t="shared" si="3"/>
        <v>49794.090474922872</v>
      </c>
      <c r="E37" s="191"/>
      <c r="F37" s="191"/>
      <c r="G37" s="191"/>
      <c r="H37" s="191"/>
    </row>
    <row r="38" spans="1:8" x14ac:dyDescent="0.2">
      <c r="B38" s="116">
        <f>B28</f>
        <v>2027</v>
      </c>
      <c r="C38" s="130">
        <f t="shared" si="3"/>
        <v>3768.8511546488007</v>
      </c>
      <c r="D38" s="130">
        <f t="shared" si="3"/>
        <v>46381.773808256214</v>
      </c>
      <c r="E38" s="131">
        <f t="shared" ref="E38:F41" si="4">ABS((C38-C37)/C37)</f>
        <v>6.4383333333333209E-2</v>
      </c>
      <c r="F38" s="131">
        <f t="shared" si="4"/>
        <v>6.8528546944444296E-2</v>
      </c>
      <c r="G38" s="131">
        <f>E38/F38</f>
        <v>0.93951114103628097</v>
      </c>
      <c r="H38" s="130" t="s">
        <v>268</v>
      </c>
    </row>
    <row r="39" spans="1:8" x14ac:dyDescent="0.2">
      <c r="B39" s="116">
        <f>B29</f>
        <v>2028</v>
      </c>
      <c r="C39" s="130">
        <f t="shared" si="3"/>
        <v>4011.5023548222725</v>
      </c>
      <c r="D39" s="130">
        <f t="shared" si="3"/>
        <v>42749.76082020066</v>
      </c>
      <c r="E39" s="131">
        <f t="shared" si="4"/>
        <v>6.4383333333333292E-2</v>
      </c>
      <c r="F39" s="131">
        <f t="shared" si="4"/>
        <v>7.83069013934313E-2</v>
      </c>
      <c r="G39" s="131">
        <f>E39/F39</f>
        <v>0.8221923251675749</v>
      </c>
      <c r="H39" s="130" t="s">
        <v>269</v>
      </c>
    </row>
    <row r="40" spans="1:8" x14ac:dyDescent="0.2">
      <c r="B40" s="116">
        <f>B30</f>
        <v>2029</v>
      </c>
      <c r="C40" s="130">
        <f t="shared" si="3"/>
        <v>4269.7762481002464</v>
      </c>
      <c r="D40" s="130">
        <f t="shared" si="3"/>
        <v>38883.906729264127</v>
      </c>
      <c r="E40" s="131">
        <f t="shared" si="4"/>
        <v>6.438333333333332E-2</v>
      </c>
      <c r="F40" s="131">
        <f t="shared" si="4"/>
        <v>9.0429841401821143E-2</v>
      </c>
      <c r="G40" s="131">
        <f>E40/F40</f>
        <v>0.71196999060574184</v>
      </c>
      <c r="H40" s="130" t="s">
        <v>269</v>
      </c>
    </row>
    <row r="41" spans="1:8" x14ac:dyDescent="0.2">
      <c r="B41" s="116">
        <f>B31</f>
        <v>2030</v>
      </c>
      <c r="C41" s="130">
        <f t="shared" si="3"/>
        <v>4544.6786755404337</v>
      </c>
      <c r="D41" s="130">
        <f t="shared" si="3"/>
        <v>34769.156065772797</v>
      </c>
      <c r="E41" s="131">
        <f t="shared" si="4"/>
        <v>6.4383333333333265E-2</v>
      </c>
      <c r="F41" s="131">
        <f t="shared" si="4"/>
        <v>0.10582143127080793</v>
      </c>
      <c r="G41" s="131">
        <f>E41/F41</f>
        <v>0.60841487929387095</v>
      </c>
      <c r="H41" s="130" t="s">
        <v>269</v>
      </c>
    </row>
    <row r="45" spans="1:8" ht="32" customHeight="1" x14ac:dyDescent="0.2">
      <c r="B45" s="26" t="s">
        <v>270</v>
      </c>
      <c r="C45" s="26"/>
    </row>
    <row r="46" spans="1:8" s="173" customFormat="1" ht="16" customHeight="1" x14ac:dyDescent="0.2">
      <c r="B46" s="26" t="s">
        <v>271</v>
      </c>
      <c r="C46" s="173" t="s">
        <v>272</v>
      </c>
      <c r="D46" s="173" t="s">
        <v>273</v>
      </c>
      <c r="E46" s="173" t="s">
        <v>274</v>
      </c>
      <c r="F46" s="173" t="s">
        <v>275</v>
      </c>
    </row>
    <row r="47" spans="1:8" ht="16" customHeight="1" x14ac:dyDescent="0.2">
      <c r="B47" s="243" t="s">
        <v>276</v>
      </c>
      <c r="C47" s="233"/>
      <c r="D47" s="26" t="s">
        <v>277</v>
      </c>
      <c r="E47" s="26" t="s">
        <v>278</v>
      </c>
      <c r="F47" s="26" t="s">
        <v>279</v>
      </c>
    </row>
    <row r="48" spans="1:8" x14ac:dyDescent="0.2">
      <c r="A48" s="27">
        <v>1</v>
      </c>
      <c r="B48" s="130"/>
      <c r="C48" s="130">
        <v>30000</v>
      </c>
      <c r="D48" s="130">
        <f t="shared" ref="D48:D53" si="5">AVERAGE(B48:C48)</f>
        <v>30000</v>
      </c>
      <c r="E48" s="187">
        <v>0</v>
      </c>
      <c r="F48" s="130">
        <f t="shared" ref="F48:F53" si="6">D48*E48</f>
        <v>0</v>
      </c>
    </row>
    <row r="49" spans="1:6" x14ac:dyDescent="0.2">
      <c r="A49" s="27">
        <v>2</v>
      </c>
      <c r="B49" s="130">
        <v>31000</v>
      </c>
      <c r="C49" s="130">
        <v>40000</v>
      </c>
      <c r="D49" s="130">
        <f t="shared" si="5"/>
        <v>35500</v>
      </c>
      <c r="E49" s="187">
        <v>0.16700000000000001</v>
      </c>
      <c r="F49" s="130">
        <f t="shared" si="6"/>
        <v>5928.5</v>
      </c>
    </row>
    <row r="50" spans="1:6" x14ac:dyDescent="0.2">
      <c r="A50" s="27">
        <v>3</v>
      </c>
      <c r="B50" s="130">
        <v>41000</v>
      </c>
      <c r="C50" s="130">
        <v>50000</v>
      </c>
      <c r="D50" s="130">
        <f t="shared" si="5"/>
        <v>45500</v>
      </c>
      <c r="E50" s="187">
        <v>8.3000000000000004E-2</v>
      </c>
      <c r="F50" s="130">
        <f t="shared" si="6"/>
        <v>3776.5</v>
      </c>
    </row>
    <row r="51" spans="1:6" x14ac:dyDescent="0.2">
      <c r="A51" s="27">
        <v>4</v>
      </c>
      <c r="B51" s="130">
        <v>51000</v>
      </c>
      <c r="C51" s="130">
        <v>60000</v>
      </c>
      <c r="D51" s="130">
        <f t="shared" si="5"/>
        <v>55500</v>
      </c>
      <c r="E51" s="187">
        <v>0.58299999999999996</v>
      </c>
      <c r="F51" s="130">
        <f t="shared" si="6"/>
        <v>32356.499999999996</v>
      </c>
    </row>
    <row r="52" spans="1:6" x14ac:dyDescent="0.2">
      <c r="A52" s="27">
        <v>5</v>
      </c>
      <c r="B52" s="130">
        <v>61000</v>
      </c>
      <c r="C52" s="130">
        <v>70000</v>
      </c>
      <c r="D52" s="130">
        <f t="shared" si="5"/>
        <v>65500</v>
      </c>
      <c r="E52" s="187">
        <v>0.16700000000000001</v>
      </c>
      <c r="F52" s="130">
        <f t="shared" si="6"/>
        <v>10938.5</v>
      </c>
    </row>
    <row r="53" spans="1:6" x14ac:dyDescent="0.2">
      <c r="A53" s="27">
        <v>6</v>
      </c>
      <c r="B53" s="130"/>
      <c r="C53" s="130">
        <v>71000</v>
      </c>
      <c r="D53" s="130">
        <f t="shared" si="5"/>
        <v>71000</v>
      </c>
      <c r="E53" s="187">
        <v>0</v>
      </c>
      <c r="F53" s="130">
        <f t="shared" si="6"/>
        <v>0</v>
      </c>
    </row>
    <row r="54" spans="1:6" x14ac:dyDescent="0.2">
      <c r="E54" s="174">
        <f>SUM(E48:E53)</f>
        <v>1</v>
      </c>
      <c r="F54" s="175">
        <f>SUM(F48:F53)</f>
        <v>53000</v>
      </c>
    </row>
  </sheetData>
  <mergeCells count="2">
    <mergeCell ref="H9:L9"/>
    <mergeCell ref="B47:C47"/>
  </mergeCells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33"/>
  <sheetViews>
    <sheetView topLeftCell="A25" zoomScale="86" zoomScaleNormal="100" workbookViewId="0">
      <selection activeCell="G39" sqref="G39"/>
    </sheetView>
  </sheetViews>
  <sheetFormatPr baseColWidth="10" defaultColWidth="11.5" defaultRowHeight="15" x14ac:dyDescent="0.2"/>
  <cols>
    <col min="1" max="1" width="11.5" style="48" customWidth="1"/>
    <col min="2" max="2" width="19.1640625" style="48" customWidth="1"/>
    <col min="3" max="3" width="20" style="48" customWidth="1"/>
    <col min="4" max="4" width="16.1640625" style="48" customWidth="1"/>
    <col min="5" max="5" width="21.83203125" style="48" bestFit="1" customWidth="1"/>
    <col min="6" max="6" width="16" style="48" bestFit="1" customWidth="1"/>
    <col min="7" max="7" width="21.83203125" style="48" customWidth="1"/>
    <col min="8" max="10" width="11.5" style="48" customWidth="1"/>
    <col min="11" max="11" width="12.1640625" style="48" customWidth="1"/>
    <col min="12" max="13" width="11.5" style="48" customWidth="1"/>
    <col min="14" max="14" width="23" style="48" customWidth="1"/>
    <col min="15" max="15" width="11.5" style="48" customWidth="1"/>
    <col min="16" max="16384" width="11.5" style="48"/>
  </cols>
  <sheetData>
    <row r="1" spans="2:15" x14ac:dyDescent="0.2">
      <c r="D1" s="51"/>
      <c r="E1" s="51"/>
      <c r="F1" s="42"/>
      <c r="G1" s="42"/>
      <c r="H1" s="42"/>
      <c r="I1" s="42"/>
      <c r="J1" s="42"/>
    </row>
    <row r="2" spans="2:15" x14ac:dyDescent="0.2">
      <c r="B2" s="96" t="s">
        <v>280</v>
      </c>
      <c r="D2" s="51"/>
      <c r="E2" s="51"/>
      <c r="F2" s="42"/>
      <c r="G2" s="42"/>
      <c r="H2" s="42"/>
      <c r="I2" s="42"/>
      <c r="J2" s="42"/>
    </row>
    <row r="3" spans="2:15" x14ac:dyDescent="0.2">
      <c r="D3" s="51"/>
      <c r="E3" s="51"/>
      <c r="F3" s="42"/>
      <c r="G3" s="42"/>
      <c r="H3" s="42"/>
      <c r="I3" s="42"/>
      <c r="J3" s="42"/>
    </row>
    <row r="4" spans="2:15" ht="16" customHeight="1" x14ac:dyDescent="0.2">
      <c r="B4" s="50" t="s">
        <v>225</v>
      </c>
      <c r="C4" s="50" t="s">
        <v>281</v>
      </c>
      <c r="D4" s="39" t="s">
        <v>227</v>
      </c>
      <c r="E4" s="39" t="s">
        <v>138</v>
      </c>
      <c r="F4" s="42"/>
      <c r="G4" s="42"/>
      <c r="H4" s="42"/>
      <c r="I4" s="42"/>
      <c r="J4" s="42"/>
    </row>
    <row r="5" spans="2:15" ht="48" customHeight="1" x14ac:dyDescent="0.2">
      <c r="B5" s="52" t="s">
        <v>282</v>
      </c>
      <c r="C5" s="52" t="s">
        <v>283</v>
      </c>
      <c r="D5" s="49">
        <v>4</v>
      </c>
      <c r="E5" s="52" t="s">
        <v>284</v>
      </c>
      <c r="F5" s="193">
        <v>12000</v>
      </c>
      <c r="G5" s="193" t="s">
        <v>285</v>
      </c>
      <c r="H5" s="42"/>
      <c r="I5" s="42"/>
      <c r="J5" s="42"/>
    </row>
    <row r="6" spans="2:15" ht="78" customHeight="1" x14ac:dyDescent="0.2">
      <c r="B6" s="52" t="s">
        <v>286</v>
      </c>
      <c r="C6" s="52" t="s">
        <v>287</v>
      </c>
      <c r="D6" s="49">
        <f>F5*F6</f>
        <v>2952</v>
      </c>
      <c r="E6" s="52" t="s">
        <v>284</v>
      </c>
      <c r="F6" s="194">
        <v>0.246</v>
      </c>
      <c r="G6" s="193" t="s">
        <v>288</v>
      </c>
      <c r="H6" s="42"/>
      <c r="I6" s="42"/>
      <c r="J6" s="42"/>
    </row>
    <row r="7" spans="2:15" ht="16" customHeight="1" x14ac:dyDescent="0.2">
      <c r="B7" s="52" t="s">
        <v>289</v>
      </c>
      <c r="C7" s="52" t="s">
        <v>290</v>
      </c>
      <c r="D7" s="45">
        <f>D5*D6</f>
        <v>11808</v>
      </c>
      <c r="E7" s="52"/>
      <c r="F7" s="42"/>
      <c r="G7" s="42"/>
      <c r="H7" s="42"/>
      <c r="I7" s="42"/>
      <c r="J7" s="42"/>
    </row>
    <row r="8" spans="2:15" ht="35.25" customHeight="1" x14ac:dyDescent="0.2">
      <c r="B8" s="38" t="s">
        <v>231</v>
      </c>
      <c r="C8" s="40" t="str">
        <f>Demanda!C6</f>
        <v>% diispuestos a comprar</v>
      </c>
      <c r="D8" s="43">
        <f>Demanda!D6</f>
        <v>0.64600000000000002</v>
      </c>
      <c r="E8" s="40" t="s">
        <v>233</v>
      </c>
      <c r="F8" s="42"/>
      <c r="G8" s="42"/>
      <c r="H8" s="42"/>
      <c r="I8" s="42"/>
      <c r="J8" s="42"/>
    </row>
    <row r="9" spans="2:15" ht="80" customHeight="1" x14ac:dyDescent="0.2">
      <c r="B9" s="38" t="s">
        <v>234</v>
      </c>
      <c r="C9" s="40" t="str">
        <f>Demanda!C7</f>
        <v>% estudiantes que respondieron "Tal vez", teniendo en cuenta que solo el 50% adoptaria la app.</v>
      </c>
      <c r="D9" s="43">
        <f>Demanda!D7</f>
        <v>0.12300000000000001</v>
      </c>
      <c r="E9" s="40" t="s">
        <v>233</v>
      </c>
      <c r="F9" s="42"/>
      <c r="G9" s="42"/>
      <c r="H9" s="42"/>
      <c r="I9" s="42"/>
      <c r="J9" s="42"/>
    </row>
    <row r="10" spans="2:15" ht="64" customHeight="1" x14ac:dyDescent="0.2">
      <c r="B10" s="38" t="s">
        <v>236</v>
      </c>
      <c r="C10" s="40" t="str">
        <f>Demanda!C8</f>
        <v>Factor de corrección por intención vs. acción real, (estándar para aplicaciones móviles) </v>
      </c>
      <c r="D10" s="43">
        <f>Demanda!D8</f>
        <v>0.7</v>
      </c>
      <c r="E10" s="40" t="s">
        <v>238</v>
      </c>
      <c r="F10" s="42"/>
      <c r="G10" s="42"/>
      <c r="H10" s="42"/>
      <c r="I10" s="42"/>
      <c r="J10" s="42"/>
    </row>
    <row r="11" spans="2:15" ht="16" customHeight="1" x14ac:dyDescent="0.2">
      <c r="B11" s="38" t="s">
        <v>291</v>
      </c>
      <c r="C11" s="38" t="s">
        <v>292</v>
      </c>
      <c r="D11" s="53">
        <f>D7*D8*D9*D10</f>
        <v>656.76804479999998</v>
      </c>
      <c r="E11" s="52"/>
      <c r="F11" s="42"/>
      <c r="G11" s="42"/>
      <c r="H11" s="42"/>
      <c r="I11" s="42"/>
      <c r="J11" s="42"/>
    </row>
    <row r="12" spans="2:15" ht="33" customHeight="1" x14ac:dyDescent="0.2">
      <c r="B12" s="39" t="s">
        <v>218</v>
      </c>
      <c r="C12" s="39" t="s">
        <v>47</v>
      </c>
      <c r="D12" s="50" t="s">
        <v>293</v>
      </c>
      <c r="E12" s="50" t="s">
        <v>294</v>
      </c>
      <c r="F12" s="51"/>
      <c r="G12" s="51"/>
      <c r="H12" s="42"/>
      <c r="I12" s="42"/>
      <c r="J12" s="42"/>
    </row>
    <row r="13" spans="2:15" ht="16" customHeight="1" x14ac:dyDescent="0.2">
      <c r="B13" s="39" t="s">
        <v>248</v>
      </c>
      <c r="C13" s="39">
        <v>2023</v>
      </c>
      <c r="D13" s="50"/>
      <c r="E13" s="50">
        <f>D11</f>
        <v>656.76804479999998</v>
      </c>
      <c r="G13" s="102"/>
      <c r="H13" s="102"/>
      <c r="I13" s="103"/>
      <c r="J13" s="42"/>
      <c r="K13" s="103"/>
    </row>
    <row r="14" spans="2:15" x14ac:dyDescent="0.2">
      <c r="B14" s="35">
        <v>1</v>
      </c>
      <c r="C14" s="40">
        <v>2024</v>
      </c>
      <c r="D14" s="57">
        <f>'Indicadores Macro'!$H$11</f>
        <v>7.0000000000000007E-2</v>
      </c>
      <c r="E14" s="44">
        <f>E13*(1+D14)</f>
        <v>702.74180793599999</v>
      </c>
      <c r="G14" s="102"/>
      <c r="H14" s="102"/>
      <c r="I14" s="103"/>
      <c r="J14" s="42"/>
      <c r="K14" s="103"/>
    </row>
    <row r="15" spans="2:15" x14ac:dyDescent="0.2">
      <c r="B15" s="35">
        <v>2</v>
      </c>
      <c r="C15" s="40">
        <f>C14+1</f>
        <v>2025</v>
      </c>
      <c r="D15" s="57">
        <f>'Indicadores Macro'!$H$11</f>
        <v>7.0000000000000007E-2</v>
      </c>
      <c r="E15" s="44">
        <f>E14*(1+D15)</f>
        <v>751.93373449152</v>
      </c>
      <c r="G15" s="102"/>
      <c r="H15" s="102"/>
      <c r="I15" s="103"/>
      <c r="J15" s="42"/>
      <c r="K15" s="103"/>
    </row>
    <row r="16" spans="2:15" x14ac:dyDescent="0.2">
      <c r="B16" s="35">
        <v>3</v>
      </c>
      <c r="C16" s="40">
        <f>C15+1</f>
        <v>2026</v>
      </c>
      <c r="D16" s="57">
        <f>'Indicadores Macro'!$H$11</f>
        <v>7.0000000000000007E-2</v>
      </c>
      <c r="E16" s="44">
        <f>E15*(1+D16)</f>
        <v>804.56909590592647</v>
      </c>
      <c r="G16" s="102"/>
      <c r="H16" s="102"/>
      <c r="I16" s="103"/>
      <c r="J16" s="42"/>
      <c r="K16" s="103"/>
      <c r="O16" s="188"/>
    </row>
    <row r="17" spans="2:15" x14ac:dyDescent="0.2">
      <c r="B17" s="35">
        <v>4</v>
      </c>
      <c r="C17" s="40">
        <f>C16+1</f>
        <v>2027</v>
      </c>
      <c r="D17" s="57">
        <f>'Indicadores Macro'!$H$11</f>
        <v>7.0000000000000007E-2</v>
      </c>
      <c r="E17" s="44">
        <f>E16*(1+D17)</f>
        <v>860.8889326193414</v>
      </c>
      <c r="G17" s="102"/>
      <c r="H17" s="102"/>
      <c r="I17" s="103"/>
      <c r="J17" s="42"/>
      <c r="K17" s="103"/>
    </row>
    <row r="18" spans="2:15" x14ac:dyDescent="0.2">
      <c r="B18" s="35">
        <v>5</v>
      </c>
      <c r="C18" s="40">
        <f>C17+1</f>
        <v>2028</v>
      </c>
      <c r="D18" s="57">
        <f>'Indicadores Macro'!$H$11</f>
        <v>7.0000000000000007E-2</v>
      </c>
      <c r="E18" s="44">
        <f>E17*(1+D18)</f>
        <v>921.15115790269533</v>
      </c>
    </row>
    <row r="19" spans="2:15" x14ac:dyDescent="0.2">
      <c r="B19" s="96"/>
    </row>
    <row r="20" spans="2:15" x14ac:dyDescent="0.2">
      <c r="F20" s="27"/>
      <c r="N20" s="48">
        <v>12000</v>
      </c>
      <c r="O20" s="192">
        <v>0.246</v>
      </c>
    </row>
    <row r="21" spans="2:15" ht="16" customHeight="1" x14ac:dyDescent="0.2">
      <c r="B21" s="39" t="s">
        <v>295</v>
      </c>
      <c r="C21" s="114" t="s">
        <v>250</v>
      </c>
      <c r="D21" s="38" t="s">
        <v>293</v>
      </c>
      <c r="E21" s="126">
        <f>D14</f>
        <v>7.0000000000000007E-2</v>
      </c>
      <c r="F21" s="27"/>
    </row>
    <row r="22" spans="2:15" x14ac:dyDescent="0.2">
      <c r="B22" s="58"/>
      <c r="C22" s="115"/>
      <c r="D22" s="116"/>
      <c r="E22" s="116"/>
      <c r="F22" s="27"/>
    </row>
    <row r="23" spans="2:15" x14ac:dyDescent="0.2">
      <c r="B23" s="26"/>
      <c r="C23" s="27"/>
      <c r="D23" s="27"/>
      <c r="E23" s="27"/>
      <c r="F23" s="33"/>
    </row>
    <row r="24" spans="2:15" ht="16" customHeight="1" x14ac:dyDescent="0.2">
      <c r="B24" s="58" t="s">
        <v>252</v>
      </c>
      <c r="C24" s="127">
        <v>53000</v>
      </c>
      <c r="D24" s="117" t="s">
        <v>253</v>
      </c>
      <c r="E24" s="41">
        <f>E15</f>
        <v>751.93373449152</v>
      </c>
      <c r="F24" s="27"/>
    </row>
    <row r="25" spans="2:15" ht="16" customHeight="1" x14ac:dyDescent="0.2">
      <c r="B25" s="58" t="s">
        <v>254</v>
      </c>
      <c r="C25" s="127">
        <f>C24/(1+E21)</f>
        <v>49532.710280373831</v>
      </c>
      <c r="D25" s="118" t="s">
        <v>255</v>
      </c>
      <c r="E25" s="41">
        <f>E14</f>
        <v>702.74180793599999</v>
      </c>
      <c r="F25" s="27"/>
    </row>
    <row r="26" spans="2:15" s="108" customFormat="1" x14ac:dyDescent="0.2">
      <c r="B26" s="26"/>
      <c r="C26" s="48"/>
      <c r="D26" s="27"/>
      <c r="E26" s="27"/>
      <c r="F26" s="27"/>
    </row>
    <row r="27" spans="2:15" s="26" customFormat="1" ht="16" customHeight="1" x14ac:dyDescent="0.2">
      <c r="B27" s="115"/>
      <c r="C27" s="115" t="s">
        <v>256</v>
      </c>
      <c r="D27" s="115" t="s">
        <v>257</v>
      </c>
      <c r="E27" s="119" t="s">
        <v>258</v>
      </c>
      <c r="F27" s="120" t="s">
        <v>259</v>
      </c>
    </row>
    <row r="28" spans="2:15" ht="16" customHeight="1" x14ac:dyDescent="0.2">
      <c r="B28" s="58" t="s">
        <v>47</v>
      </c>
      <c r="C28" s="58" t="s">
        <v>260</v>
      </c>
      <c r="D28" s="58" t="s">
        <v>261</v>
      </c>
      <c r="E28" s="121" t="s">
        <v>243</v>
      </c>
      <c r="F28" s="122" t="s">
        <v>262</v>
      </c>
    </row>
    <row r="29" spans="2:15" x14ac:dyDescent="0.2">
      <c r="B29" s="116">
        <f>C14</f>
        <v>2024</v>
      </c>
      <c r="C29" s="123">
        <f>SLOPE($C$24:$C$25,$E$24:$E$25)</f>
        <v>70.484934468115299</v>
      </c>
      <c r="D29" s="41">
        <f>INTERCEPT($C$24:$C$25,$E$24:$E$25)</f>
        <v>7.2759576141834259E-12</v>
      </c>
      <c r="E29" s="112">
        <f>E14</f>
        <v>702.74180793599999</v>
      </c>
      <c r="F29" s="112">
        <f>C29*E29+D29</f>
        <v>49532.710280373831</v>
      </c>
    </row>
    <row r="30" spans="2:15" x14ac:dyDescent="0.2">
      <c r="B30" s="116">
        <f>C15</f>
        <v>2025</v>
      </c>
      <c r="C30" s="123">
        <f>SLOPE($C$24:$C$25,$E$24:$E$25)</f>
        <v>70.484934468115299</v>
      </c>
      <c r="D30" s="41">
        <f>INTERCEPT($C$24:$C$25,$E$24:$E$25)</f>
        <v>7.2759576141834259E-12</v>
      </c>
      <c r="E30" s="112">
        <f>E15</f>
        <v>751.93373449152</v>
      </c>
      <c r="F30" s="112">
        <f>C30*E30+D30</f>
        <v>53000</v>
      </c>
    </row>
    <row r="31" spans="2:15" x14ac:dyDescent="0.2">
      <c r="B31" s="116">
        <f>C16</f>
        <v>2026</v>
      </c>
      <c r="C31" s="123">
        <f>SLOPE($C$24:$C$25,$E$24:$E$25)</f>
        <v>70.484934468115299</v>
      </c>
      <c r="D31" s="41">
        <f>INTERCEPT($C$24:$C$25,$E$24:$E$25)</f>
        <v>7.2759576141834259E-12</v>
      </c>
      <c r="E31" s="112">
        <f>E16</f>
        <v>804.56909590592647</v>
      </c>
      <c r="F31" s="112">
        <f>C31*E31+D31</f>
        <v>56710.000000000007</v>
      </c>
    </row>
    <row r="32" spans="2:15" x14ac:dyDescent="0.2">
      <c r="B32" s="116">
        <f>C17</f>
        <v>2027</v>
      </c>
      <c r="C32" s="123">
        <f>SLOPE($C$24:$C$25,$E$24:$E$25)</f>
        <v>70.484934468115299</v>
      </c>
      <c r="D32" s="41">
        <f>INTERCEPT($C$24:$C$25,$E$24:$E$25)</f>
        <v>7.2759576141834259E-12</v>
      </c>
      <c r="E32" s="112">
        <f>E17</f>
        <v>860.8889326193414</v>
      </c>
      <c r="F32" s="112">
        <f>C32*E32+D32</f>
        <v>60679.700000000012</v>
      </c>
    </row>
    <row r="33" spans="2:6" x14ac:dyDescent="0.2">
      <c r="B33" s="116">
        <f>C18</f>
        <v>2028</v>
      </c>
      <c r="C33" s="123">
        <f>SLOPE($C$24:$C$25,$E$24:$E$25)</f>
        <v>70.484934468115299</v>
      </c>
      <c r="D33" s="41">
        <f>INTERCEPT($C$24:$C$25,$E$24:$E$25)</f>
        <v>7.2759576141834259E-12</v>
      </c>
      <c r="E33" s="112">
        <f>E18</f>
        <v>921.15115790269533</v>
      </c>
      <c r="F33" s="112">
        <f>C33*E33+D33</f>
        <v>64927.279000000017</v>
      </c>
    </row>
  </sheetData>
  <pageMargins left="0.7" right="0.7" top="0.75" bottom="0.75" header="0.3" footer="0.3"/>
  <pageSetup paperSize="9" orientation="portrait" horizontalDpi="1200" verticalDpi="12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31"/>
  <sheetViews>
    <sheetView zoomScaleNormal="100" workbookViewId="0">
      <selection activeCell="C18" sqref="C18"/>
    </sheetView>
  </sheetViews>
  <sheetFormatPr baseColWidth="10" defaultColWidth="11.5" defaultRowHeight="15" x14ac:dyDescent="0.2"/>
  <cols>
    <col min="1" max="1" width="11.5" style="48" customWidth="1"/>
    <col min="2" max="2" width="14.5" style="48" customWidth="1"/>
    <col min="3" max="3" width="16.5" style="48" customWidth="1"/>
    <col min="4" max="5" width="14.83203125" style="48" customWidth="1"/>
    <col min="6" max="6" width="15.83203125" style="48" customWidth="1"/>
    <col min="7" max="7" width="16" style="48" bestFit="1" customWidth="1"/>
    <col min="8" max="11" width="11.5" style="48" customWidth="1"/>
    <col min="12" max="12" width="12.1640625" style="48" customWidth="1"/>
    <col min="13" max="13" width="11.5" style="48" customWidth="1"/>
    <col min="14" max="16384" width="11.5" style="48"/>
  </cols>
  <sheetData>
    <row r="1" spans="2:11" x14ac:dyDescent="0.2">
      <c r="D1" s="51"/>
      <c r="E1" s="51"/>
      <c r="F1" s="51"/>
      <c r="G1" s="42"/>
      <c r="H1" s="42"/>
      <c r="I1" s="42"/>
      <c r="J1" s="42"/>
      <c r="K1" s="42"/>
    </row>
    <row r="2" spans="2:11" x14ac:dyDescent="0.2">
      <c r="B2" s="96" t="s">
        <v>296</v>
      </c>
      <c r="D2" s="51"/>
      <c r="E2" s="51"/>
      <c r="F2" s="51"/>
      <c r="G2" s="42"/>
      <c r="H2" s="42"/>
      <c r="I2" s="42"/>
      <c r="J2" s="42"/>
      <c r="K2" s="42"/>
    </row>
    <row r="3" spans="2:11" x14ac:dyDescent="0.2">
      <c r="D3" s="51"/>
      <c r="E3" s="51"/>
      <c r="F3" s="51"/>
      <c r="G3" s="42"/>
      <c r="H3" s="42"/>
      <c r="I3" s="42"/>
      <c r="J3" s="42"/>
      <c r="K3" s="42"/>
    </row>
    <row r="4" spans="2:11" x14ac:dyDescent="0.2">
      <c r="C4" s="244" t="s">
        <v>297</v>
      </c>
      <c r="D4" s="228"/>
      <c r="E4" s="244" t="s">
        <v>298</v>
      </c>
      <c r="F4" s="228"/>
      <c r="G4" s="42"/>
      <c r="H4" s="42"/>
      <c r="I4" s="42"/>
      <c r="J4" s="42"/>
      <c r="K4" s="42"/>
    </row>
    <row r="5" spans="2:11" s="59" customFormat="1" ht="16" customHeight="1" x14ac:dyDescent="0.2">
      <c r="B5" s="50" t="s">
        <v>47</v>
      </c>
      <c r="C5" s="50" t="s">
        <v>243</v>
      </c>
      <c r="D5" s="50" t="s">
        <v>262</v>
      </c>
      <c r="E5" s="50" t="s">
        <v>243</v>
      </c>
      <c r="F5" s="50" t="s">
        <v>262</v>
      </c>
    </row>
    <row r="6" spans="2:11" x14ac:dyDescent="0.2">
      <c r="B6" s="40">
        <v>2024</v>
      </c>
      <c r="C6" s="52">
        <f>Demanda!E27</f>
        <v>3540.8776486999996</v>
      </c>
      <c r="D6" s="52">
        <f>Demanda!F27</f>
        <v>49794.090474922872</v>
      </c>
      <c r="E6" s="52">
        <f>Oferta!E29</f>
        <v>702.74180793599999</v>
      </c>
      <c r="F6" s="52">
        <f>Oferta!F29</f>
        <v>49532.710280373831</v>
      </c>
    </row>
    <row r="7" spans="2:11" x14ac:dyDescent="0.2">
      <c r="B7" s="40">
        <f>B6+1</f>
        <v>2025</v>
      </c>
      <c r="C7" s="52">
        <f>Demanda!E28</f>
        <v>3768.8511546488007</v>
      </c>
      <c r="D7" s="52">
        <f>Demanda!F28</f>
        <v>46381.773808256214</v>
      </c>
      <c r="E7" s="52">
        <f>Oferta!E30</f>
        <v>751.93373449152</v>
      </c>
      <c r="F7" s="52">
        <f>Oferta!F30</f>
        <v>53000</v>
      </c>
    </row>
    <row r="8" spans="2:11" x14ac:dyDescent="0.2">
      <c r="B8" s="40">
        <f>B7+1</f>
        <v>2026</v>
      </c>
      <c r="C8" s="52">
        <f>Demanda!E29</f>
        <v>4011.5023548222725</v>
      </c>
      <c r="D8" s="52">
        <f>Demanda!F29</f>
        <v>42749.76082020066</v>
      </c>
      <c r="E8" s="52">
        <f>Oferta!E31</f>
        <v>804.56909590592647</v>
      </c>
      <c r="F8" s="52">
        <f>Oferta!F31</f>
        <v>56710.000000000007</v>
      </c>
    </row>
    <row r="9" spans="2:11" x14ac:dyDescent="0.2">
      <c r="B9" s="40">
        <f>B8+1</f>
        <v>2027</v>
      </c>
      <c r="C9" s="52">
        <f>Demanda!E30</f>
        <v>4269.7762481002464</v>
      </c>
      <c r="D9" s="52">
        <f>Demanda!F30</f>
        <v>38883.906729264127</v>
      </c>
      <c r="E9" s="52">
        <f>Oferta!E32</f>
        <v>860.8889326193414</v>
      </c>
      <c r="F9" s="52">
        <f>Oferta!F32</f>
        <v>60679.700000000012</v>
      </c>
    </row>
    <row r="10" spans="2:11" x14ac:dyDescent="0.2">
      <c r="B10" s="40">
        <f>B9+1</f>
        <v>2028</v>
      </c>
      <c r="C10" s="52">
        <f>Demanda!E31</f>
        <v>4544.6786755404337</v>
      </c>
      <c r="D10" s="52">
        <f>Demanda!F31</f>
        <v>34769.156065772797</v>
      </c>
      <c r="E10" s="52">
        <f>Oferta!E33</f>
        <v>921.15115790269533</v>
      </c>
      <c r="F10" s="52">
        <f>Oferta!F33</f>
        <v>64927.279000000017</v>
      </c>
    </row>
    <row r="11" spans="2:11" x14ac:dyDescent="0.2">
      <c r="B11" s="42"/>
      <c r="C11" s="42"/>
      <c r="D11" s="42"/>
      <c r="E11" s="42"/>
    </row>
    <row r="13" spans="2:11" ht="16" customHeight="1" x14ac:dyDescent="0.2">
      <c r="C13" s="110" t="s">
        <v>299</v>
      </c>
      <c r="D13" s="51" t="s">
        <v>300</v>
      </c>
      <c r="E13" s="51"/>
    </row>
    <row r="14" spans="2:11" ht="16" customHeight="1" x14ac:dyDescent="0.2">
      <c r="B14" s="111" t="s">
        <v>301</v>
      </c>
      <c r="C14" s="109">
        <f>-Demanda!C27</f>
        <v>14.968040485515919</v>
      </c>
      <c r="D14" s="42">
        <f>Demanda!D27</f>
        <v>102794.09047492288</v>
      </c>
      <c r="E14" s="42"/>
      <c r="F14" s="42"/>
    </row>
    <row r="15" spans="2:11" ht="16" customHeight="1" x14ac:dyDescent="0.2">
      <c r="B15" s="111" t="s">
        <v>302</v>
      </c>
      <c r="C15" s="109">
        <f>Oferta!C29</f>
        <v>70.484934468115299</v>
      </c>
      <c r="D15" s="42">
        <f>Oferta!D29</f>
        <v>7.2759576141834259E-12</v>
      </c>
      <c r="E15" s="42"/>
      <c r="F15" s="42"/>
    </row>
    <row r="16" spans="2:11" x14ac:dyDescent="0.2">
      <c r="C16" s="109">
        <f>SUM(C14:C15)</f>
        <v>85.452974953631212</v>
      </c>
      <c r="D16" s="42">
        <f>SUM(D14:D15)</f>
        <v>102794.09047492288</v>
      </c>
      <c r="E16" s="42"/>
    </row>
    <row r="18" spans="2:5" ht="16" customHeight="1" x14ac:dyDescent="0.2">
      <c r="B18" s="54" t="s">
        <v>303</v>
      </c>
      <c r="C18" s="129">
        <f>D16/C16</f>
        <v>1202.9316771089757</v>
      </c>
      <c r="D18" s="42"/>
      <c r="E18" s="42"/>
    </row>
    <row r="19" spans="2:5" ht="16" customHeight="1" x14ac:dyDescent="0.2">
      <c r="B19" s="54" t="s">
        <v>304</v>
      </c>
      <c r="C19" s="129">
        <f>-C14*C18+D14</f>
        <v>84788.560430646176</v>
      </c>
      <c r="D19" s="42"/>
      <c r="E19" s="42"/>
    </row>
    <row r="20" spans="2:5" x14ac:dyDescent="0.2">
      <c r="B20" s="105"/>
    </row>
    <row r="29" spans="2:5" x14ac:dyDescent="0.2">
      <c r="C29" s="104"/>
    </row>
    <row r="30" spans="2:5" x14ac:dyDescent="0.2">
      <c r="C30" s="104"/>
    </row>
    <row r="31" spans="2:5" x14ac:dyDescent="0.2">
      <c r="C31" s="104"/>
    </row>
  </sheetData>
  <mergeCells count="2">
    <mergeCell ref="E4:F4"/>
    <mergeCell ref="C4:D4"/>
  </mergeCells>
  <pageMargins left="0.7" right="0.7" top="0.75" bottom="0.75" header="0.3" footer="0.3"/>
  <pageSetup paperSize="9" orientation="portrait" horizontalDpi="1200" verticalDpi="12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M13"/>
  <sheetViews>
    <sheetView zoomScaleNormal="100" workbookViewId="0">
      <selection activeCell="C6" sqref="C6"/>
    </sheetView>
  </sheetViews>
  <sheetFormatPr baseColWidth="10" defaultColWidth="11.5" defaultRowHeight="15" x14ac:dyDescent="0.2"/>
  <cols>
    <col min="2" max="2" width="27.1640625" bestFit="1" customWidth="1"/>
    <col min="3" max="3" width="14.83203125" customWidth="1"/>
    <col min="4" max="4" width="13.5" customWidth="1"/>
    <col min="5" max="5" width="10.6640625" customWidth="1"/>
  </cols>
  <sheetData>
    <row r="2" spans="2:13" x14ac:dyDescent="0.2">
      <c r="B2" s="8" t="s">
        <v>305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2:13" x14ac:dyDescent="0.2">
      <c r="B3" s="8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2:13" s="28" customFormat="1" ht="32" customHeight="1" x14ac:dyDescent="0.2">
      <c r="B4" s="39" t="s">
        <v>218</v>
      </c>
      <c r="C4" s="39" t="s">
        <v>306</v>
      </c>
      <c r="D4" s="39" t="s">
        <v>294</v>
      </c>
      <c r="E4" s="39" t="s">
        <v>307</v>
      </c>
      <c r="F4" s="27"/>
      <c r="G4" s="27"/>
      <c r="H4" s="27"/>
      <c r="I4" s="27"/>
      <c r="J4" s="27"/>
      <c r="K4" s="27"/>
      <c r="L4" s="27"/>
      <c r="M4" s="27"/>
    </row>
    <row r="5" spans="2:13" x14ac:dyDescent="0.2">
      <c r="B5" s="3">
        <f>Demanda!C12</f>
        <v>2026</v>
      </c>
      <c r="C5" s="11">
        <f>Demanda!E12</f>
        <v>6875.4905799999988</v>
      </c>
      <c r="D5" s="11">
        <f>Oferta!E14</f>
        <v>702.74180793599999</v>
      </c>
      <c r="E5" s="12">
        <f>C5-D5</f>
        <v>6172.7487720639983</v>
      </c>
      <c r="F5" s="2"/>
      <c r="G5" s="2"/>
      <c r="H5" s="2"/>
      <c r="I5" s="2"/>
      <c r="J5" s="2"/>
      <c r="K5" s="2"/>
      <c r="L5" s="2"/>
      <c r="M5" s="2"/>
    </row>
    <row r="6" spans="2:13" x14ac:dyDescent="0.2">
      <c r="B6" s="3">
        <f>Demanda!C13</f>
        <v>2027</v>
      </c>
      <c r="C6" s="11">
        <f>Demanda!E13</f>
        <v>7318.1575818423316</v>
      </c>
      <c r="D6" s="11">
        <f>Oferta!E15</f>
        <v>751.93373449152</v>
      </c>
      <c r="E6" s="12">
        <f>C6-D6</f>
        <v>6566.2238473508114</v>
      </c>
      <c r="F6" s="2"/>
      <c r="G6" s="2"/>
      <c r="H6" s="2"/>
      <c r="I6" s="2"/>
      <c r="J6" s="2"/>
      <c r="K6" s="2"/>
      <c r="L6" s="2"/>
      <c r="M6" s="2"/>
    </row>
    <row r="7" spans="2:13" x14ac:dyDescent="0.2">
      <c r="B7" s="3">
        <f>Demanda!C14</f>
        <v>2028</v>
      </c>
      <c r="C7" s="11">
        <f>Demanda!E14</f>
        <v>7789.3249608199467</v>
      </c>
      <c r="D7" s="11">
        <f>Oferta!E16</f>
        <v>804.56909590592647</v>
      </c>
      <c r="E7" s="12">
        <f>C7-D7</f>
        <v>6984.7558649140201</v>
      </c>
      <c r="F7" s="2"/>
      <c r="G7" s="2"/>
      <c r="H7" s="2"/>
      <c r="I7" s="2"/>
      <c r="J7" s="2"/>
      <c r="K7" s="2"/>
      <c r="L7" s="2"/>
      <c r="M7" s="2"/>
    </row>
    <row r="8" spans="2:13" x14ac:dyDescent="0.2">
      <c r="B8" s="3">
        <f>Demanda!C15</f>
        <v>2029</v>
      </c>
      <c r="C8" s="11">
        <f>Demanda!E15</f>
        <v>8290.8276662140706</v>
      </c>
      <c r="D8" s="11">
        <f>Oferta!E17</f>
        <v>860.8889326193414</v>
      </c>
      <c r="E8" s="12">
        <f>C8-D8</f>
        <v>7429.9387335947295</v>
      </c>
      <c r="F8" s="2"/>
      <c r="G8" s="2"/>
      <c r="H8" s="2"/>
      <c r="I8" s="2"/>
      <c r="J8" s="2"/>
      <c r="K8" s="2"/>
      <c r="L8" s="2"/>
      <c r="M8" s="2"/>
    </row>
    <row r="9" spans="2:13" x14ac:dyDescent="0.2">
      <c r="B9" s="3">
        <f>Demanda!C16</f>
        <v>2030</v>
      </c>
      <c r="C9" s="11">
        <f>Demanda!E16</f>
        <v>8824.6187874571533</v>
      </c>
      <c r="D9" s="11">
        <f>Oferta!E18</f>
        <v>921.15115790269533</v>
      </c>
      <c r="E9" s="12">
        <f>C9-D9</f>
        <v>7903.4676295544577</v>
      </c>
      <c r="F9" s="2"/>
      <c r="G9" s="2"/>
      <c r="H9" s="2"/>
      <c r="I9" s="2"/>
      <c r="J9" s="2"/>
      <c r="K9" s="2"/>
      <c r="L9" s="2"/>
      <c r="M9" s="2"/>
    </row>
    <row r="10" spans="2:13" x14ac:dyDescent="0.2">
      <c r="B10" s="2"/>
      <c r="C10" s="5"/>
      <c r="D10" s="5"/>
      <c r="E10" s="4"/>
      <c r="F10" s="2"/>
      <c r="G10" s="2"/>
      <c r="H10" s="2"/>
      <c r="I10" s="2"/>
      <c r="J10" s="2"/>
      <c r="K10" s="2"/>
      <c r="L10" s="2"/>
      <c r="M10" s="2"/>
    </row>
    <row r="11" spans="2:13" x14ac:dyDescent="0.2">
      <c r="B11" s="149" t="s">
        <v>308</v>
      </c>
      <c r="C11" s="245" t="s">
        <v>309</v>
      </c>
      <c r="D11" s="239"/>
      <c r="E11" s="4"/>
      <c r="F11" s="2"/>
      <c r="G11" s="2"/>
      <c r="H11" s="2"/>
      <c r="I11" s="2"/>
      <c r="J11" s="2"/>
      <c r="K11" s="2"/>
      <c r="L11" s="2"/>
      <c r="M11" s="2"/>
    </row>
    <row r="12" spans="2:13" x14ac:dyDescent="0.2">
      <c r="B12" s="150" t="s">
        <v>310</v>
      </c>
      <c r="C12" s="245" t="s">
        <v>311</v>
      </c>
      <c r="D12" s="239"/>
    </row>
    <row r="13" spans="2:13" x14ac:dyDescent="0.2">
      <c r="B13" s="150" t="s">
        <v>312</v>
      </c>
      <c r="C13" s="246" t="s">
        <v>313</v>
      </c>
      <c r="D13" s="239"/>
    </row>
  </sheetData>
  <mergeCells count="3">
    <mergeCell ref="C12:D12"/>
    <mergeCell ref="C11:D11"/>
    <mergeCell ref="C13:D1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F14"/>
  <sheetViews>
    <sheetView zoomScaleNormal="100" workbookViewId="0">
      <selection activeCell="C6" sqref="C6"/>
    </sheetView>
  </sheetViews>
  <sheetFormatPr baseColWidth="10" defaultColWidth="9.1640625" defaultRowHeight="15" x14ac:dyDescent="0.2"/>
  <cols>
    <col min="1" max="1" width="9.1640625" style="6" customWidth="1"/>
    <col min="2" max="2" width="31.6640625" style="6" customWidth="1"/>
    <col min="3" max="3" width="13.83203125" style="29" customWidth="1"/>
    <col min="4" max="4" width="16.6640625" style="6" customWidth="1"/>
    <col min="5" max="5" width="13.33203125" style="29" customWidth="1"/>
    <col min="6" max="6" width="9.1640625" style="6" customWidth="1"/>
    <col min="7" max="16384" width="9.1640625" style="6"/>
  </cols>
  <sheetData>
    <row r="2" spans="2:6" s="7" customFormat="1" x14ac:dyDescent="0.2">
      <c r="B2" s="99" t="s">
        <v>314</v>
      </c>
      <c r="C2" s="99"/>
      <c r="E2" s="100"/>
      <c r="F2" s="124"/>
    </row>
    <row r="4" spans="2:6" x14ac:dyDescent="0.2">
      <c r="B4" s="99" t="s">
        <v>225</v>
      </c>
      <c r="C4" s="99" t="s">
        <v>243</v>
      </c>
      <c r="D4" s="99"/>
    </row>
    <row r="5" spans="2:6" x14ac:dyDescent="0.2">
      <c r="B5" s="29" t="s">
        <v>315</v>
      </c>
      <c r="C5" s="129">
        <v>10</v>
      </c>
      <c r="D5" s="42"/>
    </row>
    <row r="6" spans="2:6" x14ac:dyDescent="0.2">
      <c r="B6" s="29" t="s">
        <v>316</v>
      </c>
      <c r="C6" s="129">
        <f>C5*24</f>
        <v>240</v>
      </c>
      <c r="D6" s="42"/>
    </row>
    <row r="7" spans="2:6" x14ac:dyDescent="0.2">
      <c r="B7" s="29" t="s">
        <v>317</v>
      </c>
      <c r="C7" s="42">
        <f>C6*12</f>
        <v>2880</v>
      </c>
      <c r="D7" s="21"/>
    </row>
    <row r="8" spans="2:6" ht="16" customHeight="1" x14ac:dyDescent="0.2">
      <c r="B8" s="132" t="s">
        <v>47</v>
      </c>
      <c r="C8" s="133" t="s">
        <v>318</v>
      </c>
      <c r="D8" s="133" t="s">
        <v>319</v>
      </c>
    </row>
    <row r="9" spans="2:6" x14ac:dyDescent="0.2">
      <c r="B9" s="134">
        <v>2024</v>
      </c>
      <c r="C9" s="135">
        <f>C7</f>
        <v>2880</v>
      </c>
      <c r="D9" s="136">
        <f>'Indicadores Macro'!H11</f>
        <v>7.0000000000000007E-2</v>
      </c>
    </row>
    <row r="10" spans="2:6" x14ac:dyDescent="0.2">
      <c r="B10" s="2">
        <v>2025</v>
      </c>
      <c r="C10" s="42">
        <f>C9*(1+$D$9)</f>
        <v>3081.6000000000004</v>
      </c>
      <c r="D10" s="42"/>
      <c r="E10" s="136">
        <f>C10/Demanda!E12</f>
        <v>0.44820074497142298</v>
      </c>
    </row>
    <row r="11" spans="2:6" x14ac:dyDescent="0.2">
      <c r="B11" s="2">
        <f>B10+1</f>
        <v>2026</v>
      </c>
      <c r="C11" s="42">
        <f>C10*(1+$D$9)</f>
        <v>3297.3120000000008</v>
      </c>
      <c r="D11" s="42"/>
      <c r="E11" s="176"/>
    </row>
    <row r="12" spans="2:6" x14ac:dyDescent="0.2">
      <c r="B12" s="2">
        <f>B11+1</f>
        <v>2027</v>
      </c>
      <c r="C12" s="42">
        <f>C11*(1+$D$9)</f>
        <v>3528.1238400000011</v>
      </c>
      <c r="D12" s="42"/>
    </row>
    <row r="13" spans="2:6" x14ac:dyDescent="0.2">
      <c r="B13" s="2">
        <f>B12+1</f>
        <v>2028</v>
      </c>
      <c r="C13" s="42">
        <f>C12*(1+$D$9)</f>
        <v>3775.0925088000013</v>
      </c>
      <c r="D13" s="42"/>
    </row>
    <row r="14" spans="2:6" x14ac:dyDescent="0.2">
      <c r="B14" s="2">
        <f>B13+1</f>
        <v>2029</v>
      </c>
      <c r="C14" s="42">
        <f>C13*(1+$D$9)</f>
        <v>4039.3489844160017</v>
      </c>
      <c r="D14" s="42"/>
    </row>
  </sheetData>
  <pageMargins left="0.7" right="0.7" top="0.75" bottom="0.75" header="0.3" footer="0.3"/>
  <pageSetup paperSize="9" orientation="portrait" horizontalDpi="1200" verticalDpi="12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F74"/>
  <sheetViews>
    <sheetView topLeftCell="A2" zoomScaleNormal="100" workbookViewId="0">
      <selection activeCell="D11" sqref="D11:D12"/>
    </sheetView>
  </sheetViews>
  <sheetFormatPr baseColWidth="10" defaultColWidth="11.5" defaultRowHeight="15" x14ac:dyDescent="0.2"/>
  <cols>
    <col min="1" max="1" width="11.5" style="20" customWidth="1"/>
    <col min="2" max="2" width="34.33203125" style="62" bestFit="1" customWidth="1"/>
    <col min="3" max="3" width="11.5" style="62" customWidth="1"/>
    <col min="4" max="4" width="12.33203125" style="62" customWidth="1"/>
    <col min="5" max="5" width="12.5" style="62" bestFit="1" customWidth="1"/>
    <col min="6" max="8" width="13.5" style="20" customWidth="1"/>
    <col min="9" max="9" width="11.5" style="20" customWidth="1"/>
    <col min="10" max="16384" width="11.5" style="20"/>
  </cols>
  <sheetData>
    <row r="2" spans="2:6" ht="27.75" customHeight="1" x14ac:dyDescent="0.2">
      <c r="B2" s="61" t="s">
        <v>320</v>
      </c>
    </row>
    <row r="3" spans="2:6" x14ac:dyDescent="0.2">
      <c r="B3" s="61"/>
    </row>
    <row r="4" spans="2:6" ht="16" customHeight="1" x14ac:dyDescent="0.2">
      <c r="B4" s="30" t="s">
        <v>321</v>
      </c>
      <c r="C4" s="30" t="s">
        <v>243</v>
      </c>
      <c r="D4" s="30" t="s">
        <v>322</v>
      </c>
      <c r="E4" s="30" t="s">
        <v>323</v>
      </c>
      <c r="F4" s="30" t="s">
        <v>324</v>
      </c>
    </row>
    <row r="5" spans="2:6" ht="16" customHeight="1" x14ac:dyDescent="0.2">
      <c r="B5" s="67" t="s">
        <v>325</v>
      </c>
      <c r="C5" s="30"/>
      <c r="D5" s="30"/>
      <c r="E5" s="30"/>
      <c r="F5" s="30"/>
    </row>
    <row r="6" spans="2:6" ht="16" customHeight="1" x14ac:dyDescent="0.2">
      <c r="B6" s="65" t="s">
        <v>326</v>
      </c>
      <c r="C6" s="139">
        <f>Tamaño!C6</f>
        <v>240</v>
      </c>
      <c r="D6" s="65">
        <v>0</v>
      </c>
      <c r="E6" s="65"/>
      <c r="F6" s="65">
        <f>C6*D6</f>
        <v>0</v>
      </c>
    </row>
    <row r="7" spans="2:6" x14ac:dyDescent="0.2">
      <c r="B7" s="183" t="s">
        <v>327</v>
      </c>
      <c r="C7" s="65">
        <v>1</v>
      </c>
      <c r="D7" s="65">
        <v>1500000</v>
      </c>
      <c r="E7" s="137">
        <v>1.3883000000000001</v>
      </c>
      <c r="F7" s="65">
        <f>C7*D7*E7</f>
        <v>2082450.0000000002</v>
      </c>
    </row>
    <row r="8" spans="2:6" ht="16" customHeight="1" x14ac:dyDescent="0.2">
      <c r="B8" s="65" t="s">
        <v>328</v>
      </c>
      <c r="C8" s="195">
        <v>2</v>
      </c>
      <c r="D8" s="65">
        <v>3000000</v>
      </c>
      <c r="E8" s="137">
        <v>1.3883000000000001</v>
      </c>
      <c r="F8" s="65">
        <f>C8*D8*E8</f>
        <v>8329800.0000000009</v>
      </c>
    </row>
    <row r="9" spans="2:6" x14ac:dyDescent="0.2">
      <c r="B9" s="196" t="s">
        <v>329</v>
      </c>
      <c r="C9" s="65">
        <v>1</v>
      </c>
      <c r="D9" s="65">
        <v>2800000</v>
      </c>
      <c r="E9" s="137">
        <v>1.3883000000000001</v>
      </c>
      <c r="F9" s="65">
        <f>C9*D9*E9</f>
        <v>3887240.0000000005</v>
      </c>
    </row>
    <row r="10" spans="2:6" ht="16" customHeight="1" x14ac:dyDescent="0.2">
      <c r="B10" s="67" t="s">
        <v>330</v>
      </c>
      <c r="C10" s="65"/>
      <c r="D10" s="65"/>
      <c r="E10" s="64"/>
      <c r="F10" s="65"/>
    </row>
    <row r="11" spans="2:6" x14ac:dyDescent="0.2">
      <c r="B11" s="196" t="s">
        <v>331</v>
      </c>
      <c r="C11" s="64">
        <v>1</v>
      </c>
      <c r="D11" s="64">
        <v>2500000</v>
      </c>
      <c r="E11" s="137">
        <v>1.3883000000000001</v>
      </c>
      <c r="F11" s="65">
        <f>C11*D11*E11</f>
        <v>3470750</v>
      </c>
    </row>
    <row r="12" spans="2:6" x14ac:dyDescent="0.2">
      <c r="B12" s="196" t="s">
        <v>332</v>
      </c>
      <c r="C12" s="64">
        <v>1</v>
      </c>
      <c r="D12" s="64">
        <v>3000000</v>
      </c>
      <c r="E12" s="137">
        <v>1.3883000000000001</v>
      </c>
      <c r="F12" s="65">
        <f>C12*D12*E12</f>
        <v>4164900.0000000005</v>
      </c>
    </row>
    <row r="13" spans="2:6" x14ac:dyDescent="0.2">
      <c r="B13" s="196" t="s">
        <v>333</v>
      </c>
      <c r="C13" s="64">
        <v>1</v>
      </c>
      <c r="D13" s="64">
        <v>3000000</v>
      </c>
      <c r="E13" s="138">
        <v>0.8</v>
      </c>
      <c r="F13" s="65">
        <f>C13*D13*E13</f>
        <v>2400000</v>
      </c>
    </row>
    <row r="14" spans="2:6" ht="16" customHeight="1" x14ac:dyDescent="0.2">
      <c r="B14" s="64" t="s">
        <v>334</v>
      </c>
      <c r="C14" s="64">
        <v>1</v>
      </c>
      <c r="D14" s="64">
        <v>1200000</v>
      </c>
      <c r="E14" s="138">
        <v>0.8</v>
      </c>
      <c r="F14" s="65">
        <f>C14*D14*E14</f>
        <v>960000</v>
      </c>
    </row>
    <row r="15" spans="2:6" ht="16" customHeight="1" x14ac:dyDescent="0.2">
      <c r="B15" s="64" t="s">
        <v>335</v>
      </c>
      <c r="C15" s="64">
        <v>1</v>
      </c>
      <c r="D15" s="64">
        <v>30000</v>
      </c>
      <c r="E15" s="64"/>
      <c r="F15" s="65">
        <f>C15*D15</f>
        <v>30000</v>
      </c>
    </row>
    <row r="16" spans="2:6" ht="16" customHeight="1" x14ac:dyDescent="0.2">
      <c r="B16" s="66" t="s">
        <v>336</v>
      </c>
      <c r="C16" s="66">
        <v>1</v>
      </c>
      <c r="D16" s="66">
        <f>F25</f>
        <v>140000</v>
      </c>
      <c r="E16" s="66"/>
      <c r="F16" s="142">
        <f>C16*D16</f>
        <v>140000</v>
      </c>
    </row>
    <row r="17" spans="2:6" ht="16" customHeight="1" x14ac:dyDescent="0.2">
      <c r="B17" s="69" t="s">
        <v>337</v>
      </c>
      <c r="C17" s="69"/>
      <c r="D17" s="74"/>
      <c r="E17" s="74"/>
      <c r="F17" s="69">
        <f>SUM(F6:F16)</f>
        <v>25465140</v>
      </c>
    </row>
    <row r="18" spans="2:6" ht="16" customHeight="1" x14ac:dyDescent="0.2">
      <c r="B18" s="63" t="s">
        <v>338</v>
      </c>
      <c r="C18" s="63"/>
      <c r="D18" s="68"/>
      <c r="E18" s="68"/>
      <c r="F18" s="140">
        <f>Tamaño!C6</f>
        <v>240</v>
      </c>
    </row>
    <row r="19" spans="2:6" ht="16" customHeight="1" x14ac:dyDescent="0.2">
      <c r="B19" s="19" t="s">
        <v>339</v>
      </c>
      <c r="C19" s="19"/>
      <c r="D19" s="68"/>
      <c r="E19" s="68"/>
      <c r="F19" s="141">
        <f>F17/F18</f>
        <v>106104.75</v>
      </c>
    </row>
    <row r="21" spans="2:6" ht="32" customHeight="1" x14ac:dyDescent="0.2">
      <c r="B21" s="30" t="s">
        <v>340</v>
      </c>
      <c r="C21" s="30" t="s">
        <v>243</v>
      </c>
      <c r="D21" s="30" t="s">
        <v>322</v>
      </c>
      <c r="E21" s="30" t="s">
        <v>341</v>
      </c>
      <c r="F21" s="30" t="s">
        <v>342</v>
      </c>
    </row>
    <row r="22" spans="2:6" ht="16" customHeight="1" x14ac:dyDescent="0.2">
      <c r="B22" s="64" t="s">
        <v>343</v>
      </c>
      <c r="C22" s="64">
        <v>3</v>
      </c>
      <c r="D22" s="64">
        <v>4000000</v>
      </c>
      <c r="E22" s="64">
        <f>C22*D22</f>
        <v>12000000</v>
      </c>
      <c r="F22" s="64">
        <f>E22*10%/12</f>
        <v>100000</v>
      </c>
    </row>
    <row r="23" spans="2:6" ht="16" customHeight="1" x14ac:dyDescent="0.2">
      <c r="B23" s="64" t="s">
        <v>344</v>
      </c>
      <c r="C23" s="64">
        <v>2</v>
      </c>
      <c r="D23" s="64">
        <v>1200000</v>
      </c>
      <c r="E23" s="64">
        <f>C23*D23</f>
        <v>2400000</v>
      </c>
      <c r="F23" s="64">
        <f>E23*10%/12</f>
        <v>20000</v>
      </c>
    </row>
    <row r="24" spans="2:6" ht="16" customHeight="1" x14ac:dyDescent="0.2">
      <c r="B24" s="64" t="s">
        <v>345</v>
      </c>
      <c r="C24" s="64">
        <v>3</v>
      </c>
      <c r="D24" s="64">
        <v>800000</v>
      </c>
      <c r="E24" s="64">
        <f>C24*D24</f>
        <v>2400000</v>
      </c>
      <c r="F24" s="64">
        <f>E24*10%/12</f>
        <v>20000</v>
      </c>
    </row>
    <row r="25" spans="2:6" ht="16" customHeight="1" x14ac:dyDescent="0.2">
      <c r="B25" s="69" t="s">
        <v>346</v>
      </c>
      <c r="C25" s="66"/>
      <c r="D25" s="69"/>
      <c r="E25" s="69">
        <f>SUM(E22:E24)</f>
        <v>16800000</v>
      </c>
      <c r="F25" s="66">
        <f>SUM(F22:F24)</f>
        <v>140000</v>
      </c>
    </row>
    <row r="26" spans="2:6" x14ac:dyDescent="0.2">
      <c r="B26" s="61"/>
    </row>
    <row r="27" spans="2:6" x14ac:dyDescent="0.2">
      <c r="B27" s="61"/>
    </row>
    <row r="28" spans="2:6" x14ac:dyDescent="0.2">
      <c r="B28" s="61"/>
    </row>
    <row r="29" spans="2:6" x14ac:dyDescent="0.2">
      <c r="B29" s="61"/>
    </row>
    <row r="33" spans="2:6" ht="16" customHeight="1" x14ac:dyDescent="0.2">
      <c r="B33" s="62" t="s">
        <v>174</v>
      </c>
    </row>
    <row r="34" spans="2:6" x14ac:dyDescent="0.2">
      <c r="B34" s="62">
        <v>2017</v>
      </c>
    </row>
    <row r="35" spans="2:6" x14ac:dyDescent="0.2">
      <c r="B35" s="62">
        <v>2018</v>
      </c>
    </row>
    <row r="36" spans="2:6" x14ac:dyDescent="0.2">
      <c r="B36" s="62">
        <v>2019</v>
      </c>
    </row>
    <row r="37" spans="2:6" x14ac:dyDescent="0.2">
      <c r="B37" s="62">
        <v>2020</v>
      </c>
    </row>
    <row r="38" spans="2:6" x14ac:dyDescent="0.2">
      <c r="B38" s="62">
        <v>2021</v>
      </c>
    </row>
    <row r="39" spans="2:6" ht="16" customHeight="1" x14ac:dyDescent="0.2">
      <c r="B39" s="62" t="s">
        <v>347</v>
      </c>
    </row>
    <row r="40" spans="2:6" x14ac:dyDescent="0.2">
      <c r="B40" s="62">
        <v>3732</v>
      </c>
    </row>
    <row r="41" spans="2:6" x14ac:dyDescent="0.2">
      <c r="B41" s="62">
        <v>4105</v>
      </c>
    </row>
    <row r="42" spans="2:6" x14ac:dyDescent="0.2">
      <c r="B42" s="62">
        <v>4515</v>
      </c>
    </row>
    <row r="43" spans="2:6" x14ac:dyDescent="0.2">
      <c r="B43" s="62">
        <v>4967</v>
      </c>
    </row>
    <row r="44" spans="2:6" x14ac:dyDescent="0.2">
      <c r="B44" s="62">
        <v>5464</v>
      </c>
    </row>
    <row r="45" spans="2:6" ht="16" customHeight="1" x14ac:dyDescent="0.2">
      <c r="B45" s="62" t="s">
        <v>348</v>
      </c>
    </row>
    <row r="46" spans="2:6" x14ac:dyDescent="0.2">
      <c r="B46" s="62">
        <v>230280561</v>
      </c>
      <c r="C46" s="62">
        <f>B46/$B$40</f>
        <v>61704.330385852089</v>
      </c>
      <c r="D46" s="62">
        <f>C46*(1+3.9%)^6</f>
        <v>77626.307637759106</v>
      </c>
      <c r="E46" s="62">
        <v>2023</v>
      </c>
      <c r="F46" s="70">
        <f>C46/$C$64</f>
        <v>0.61377865106659146</v>
      </c>
    </row>
    <row r="47" spans="2:6" x14ac:dyDescent="0.2">
      <c r="B47" s="62">
        <v>253296276</v>
      </c>
    </row>
    <row r="48" spans="2:6" x14ac:dyDescent="0.2">
      <c r="B48" s="62">
        <v>278595052</v>
      </c>
    </row>
    <row r="49" spans="2:6" x14ac:dyDescent="0.2">
      <c r="B49" s="62">
        <v>306485409</v>
      </c>
    </row>
    <row r="50" spans="2:6" x14ac:dyDescent="0.2">
      <c r="B50" s="62">
        <v>337152461</v>
      </c>
    </row>
    <row r="51" spans="2:6" ht="16" customHeight="1" x14ac:dyDescent="0.2">
      <c r="B51" s="62" t="s">
        <v>349</v>
      </c>
    </row>
    <row r="52" spans="2:6" x14ac:dyDescent="0.2">
      <c r="B52" s="62">
        <v>18720000</v>
      </c>
      <c r="C52" s="62">
        <f>B52/$B$40</f>
        <v>5016.0771704180061</v>
      </c>
      <c r="D52" s="62">
        <f>C52*(1+3.9%)^6</f>
        <v>6310.4088016306787</v>
      </c>
      <c r="E52" s="62">
        <v>2023</v>
      </c>
      <c r="F52" s="70">
        <f>C52/$C$64</f>
        <v>4.9895381086754391E-2</v>
      </c>
    </row>
    <row r="53" spans="2:6" x14ac:dyDescent="0.2">
      <c r="B53" s="62">
        <v>19656000</v>
      </c>
    </row>
    <row r="54" spans="2:6" x14ac:dyDescent="0.2">
      <c r="B54" s="62">
        <v>20638800</v>
      </c>
    </row>
    <row r="55" spans="2:6" x14ac:dyDescent="0.2">
      <c r="B55" s="62">
        <v>21670740</v>
      </c>
    </row>
    <row r="56" spans="2:6" x14ac:dyDescent="0.2">
      <c r="B56" s="62">
        <v>22754277</v>
      </c>
    </row>
    <row r="57" spans="2:6" ht="16" customHeight="1" x14ac:dyDescent="0.2">
      <c r="B57" s="62" t="s">
        <v>350</v>
      </c>
    </row>
    <row r="58" spans="2:6" x14ac:dyDescent="0.2">
      <c r="B58" s="62">
        <v>126184468</v>
      </c>
      <c r="C58" s="62">
        <f>B58/$B$40</f>
        <v>33811.486602357982</v>
      </c>
      <c r="D58" s="62">
        <f>C58*(1+3.9%)^6</f>
        <v>42536.088541468198</v>
      </c>
      <c r="E58" s="62">
        <v>2023</v>
      </c>
      <c r="F58" s="70">
        <f>C58/$C$64</f>
        <v>0.33632596784665408</v>
      </c>
    </row>
    <row r="59" spans="2:6" x14ac:dyDescent="0.2">
      <c r="B59" s="62">
        <v>135017381</v>
      </c>
    </row>
    <row r="60" spans="2:6" x14ac:dyDescent="0.2">
      <c r="B60" s="62">
        <v>144468597</v>
      </c>
    </row>
    <row r="61" spans="2:6" x14ac:dyDescent="0.2">
      <c r="B61" s="62">
        <v>154581399</v>
      </c>
    </row>
    <row r="62" spans="2:6" x14ac:dyDescent="0.2">
      <c r="B62" s="62">
        <v>165402097</v>
      </c>
    </row>
    <row r="63" spans="2:6" ht="16" customHeight="1" x14ac:dyDescent="0.2">
      <c r="B63" s="62" t="s">
        <v>351</v>
      </c>
    </row>
    <row r="64" spans="2:6" x14ac:dyDescent="0.2">
      <c r="B64" s="62">
        <v>375185029</v>
      </c>
      <c r="C64" s="62">
        <f>B64/$B$40</f>
        <v>100531.89415862809</v>
      </c>
      <c r="D64" s="62">
        <f>C64*(1+3.9%)^6</f>
        <v>126472.804980858</v>
      </c>
      <c r="E64" s="62">
        <f>D64*60%</f>
        <v>75883.682988514789</v>
      </c>
      <c r="F64" s="70">
        <f>C64/$C$64</f>
        <v>1</v>
      </c>
    </row>
    <row r="65" spans="2:4" x14ac:dyDescent="0.2">
      <c r="B65" s="62">
        <v>407969657</v>
      </c>
    </row>
    <row r="66" spans="2:4" x14ac:dyDescent="0.2">
      <c r="B66" s="62">
        <v>443702449</v>
      </c>
    </row>
    <row r="67" spans="2:4" x14ac:dyDescent="0.2">
      <c r="B67" s="62">
        <v>482737548</v>
      </c>
    </row>
    <row r="68" spans="2:4" x14ac:dyDescent="0.2">
      <c r="B68" s="62">
        <v>525308835</v>
      </c>
    </row>
    <row r="69" spans="2:4" ht="16" customHeight="1" x14ac:dyDescent="0.2">
      <c r="B69" s="62" t="s">
        <v>352</v>
      </c>
    </row>
    <row r="70" spans="2:4" ht="32" customHeight="1" x14ac:dyDescent="0.2">
      <c r="B70" s="62">
        <v>143617</v>
      </c>
      <c r="C70" s="71">
        <f>1-(C64/B70)</f>
        <v>0.30000004067326236</v>
      </c>
      <c r="D70" s="62" t="s">
        <v>353</v>
      </c>
    </row>
    <row r="71" spans="2:4" x14ac:dyDescent="0.2">
      <c r="B71" s="62">
        <v>141977</v>
      </c>
      <c r="D71" s="62">
        <f>D64/(1-C70)</f>
        <v>180675.44618502544</v>
      </c>
    </row>
    <row r="72" spans="2:4" x14ac:dyDescent="0.2">
      <c r="B72" s="62">
        <v>140390</v>
      </c>
    </row>
    <row r="73" spans="2:4" x14ac:dyDescent="0.2">
      <c r="B73" s="62">
        <v>138841</v>
      </c>
    </row>
    <row r="74" spans="2:4" x14ac:dyDescent="0.2">
      <c r="B74" s="62">
        <v>137343</v>
      </c>
    </row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G28"/>
  <sheetViews>
    <sheetView zoomScaleNormal="100" workbookViewId="0">
      <selection activeCell="D16" activeCellId="1" sqref="D6:D9 D16"/>
    </sheetView>
  </sheetViews>
  <sheetFormatPr baseColWidth="10" defaultColWidth="11.5" defaultRowHeight="15" x14ac:dyDescent="0.2"/>
  <cols>
    <col min="1" max="1" width="11.5" style="20" customWidth="1"/>
    <col min="2" max="2" width="30.1640625" style="62" customWidth="1"/>
    <col min="3" max="3" width="13.33203125" style="62" customWidth="1"/>
    <col min="4" max="4" width="12" style="62" bestFit="1" customWidth="1"/>
    <col min="5" max="5" width="13" style="62" customWidth="1"/>
    <col min="6" max="6" width="12.6640625" style="62" customWidth="1"/>
    <col min="7" max="7" width="13.5" style="62" customWidth="1"/>
    <col min="8" max="8" width="12.5" style="20" bestFit="1" customWidth="1"/>
    <col min="9" max="9" width="13.5" style="20" customWidth="1"/>
    <col min="10" max="10" width="11.5" style="20" customWidth="1"/>
    <col min="11" max="16384" width="11.5" style="20"/>
  </cols>
  <sheetData>
    <row r="2" spans="2:6" ht="29.25" customHeight="1" x14ac:dyDescent="0.2">
      <c r="B2" s="61" t="s">
        <v>354</v>
      </c>
      <c r="C2" s="61"/>
    </row>
    <row r="4" spans="2:6" ht="16" customHeight="1" x14ac:dyDescent="0.2">
      <c r="B4" s="30" t="s">
        <v>355</v>
      </c>
      <c r="C4" s="30" t="s">
        <v>243</v>
      </c>
      <c r="D4" s="30" t="s">
        <v>356</v>
      </c>
      <c r="E4" s="30" t="s">
        <v>323</v>
      </c>
      <c r="F4" s="30" t="s">
        <v>357</v>
      </c>
    </row>
    <row r="5" spans="2:6" ht="16" customHeight="1" x14ac:dyDescent="0.2">
      <c r="B5" s="67" t="s">
        <v>358</v>
      </c>
      <c r="C5" s="67"/>
      <c r="D5" s="19"/>
      <c r="E5" s="19"/>
      <c r="F5" s="18"/>
    </row>
    <row r="6" spans="2:6" ht="16" customHeight="1" x14ac:dyDescent="0.2">
      <c r="B6" s="65" t="s">
        <v>359</v>
      </c>
      <c r="C6" s="65">
        <v>1</v>
      </c>
      <c r="D6" s="65">
        <v>4000000</v>
      </c>
      <c r="E6" s="137">
        <v>1.3883000000000001</v>
      </c>
      <c r="F6" s="65">
        <f t="shared" ref="F6:F11" si="0">C6*D6*E6</f>
        <v>5553200</v>
      </c>
    </row>
    <row r="7" spans="2:6" ht="16" customHeight="1" x14ac:dyDescent="0.2">
      <c r="B7" s="65" t="s">
        <v>360</v>
      </c>
      <c r="C7" s="65">
        <v>1</v>
      </c>
      <c r="D7" s="65">
        <v>1500000</v>
      </c>
      <c r="E7" s="137">
        <v>1.3883000000000001</v>
      </c>
      <c r="F7" s="65">
        <f t="shared" si="0"/>
        <v>2082450.0000000002</v>
      </c>
    </row>
    <row r="8" spans="2:6" ht="16" customHeight="1" x14ac:dyDescent="0.2">
      <c r="B8" s="65" t="s">
        <v>361</v>
      </c>
      <c r="C8" s="65">
        <v>1</v>
      </c>
      <c r="D8" s="65">
        <v>1400000</v>
      </c>
      <c r="E8" s="137">
        <v>1.3883000000000001</v>
      </c>
      <c r="F8" s="65">
        <f t="shared" si="0"/>
        <v>1943620.0000000002</v>
      </c>
    </row>
    <row r="9" spans="2:6" ht="16" customHeight="1" x14ac:dyDescent="0.2">
      <c r="B9" s="65" t="s">
        <v>362</v>
      </c>
      <c r="C9" s="65">
        <v>1</v>
      </c>
      <c r="D9" s="65">
        <v>1500000</v>
      </c>
      <c r="E9" s="137">
        <v>1.3883000000000001</v>
      </c>
      <c r="F9" s="65">
        <f t="shared" si="0"/>
        <v>2082450.0000000002</v>
      </c>
    </row>
    <row r="10" spans="2:6" ht="16" customHeight="1" x14ac:dyDescent="0.2">
      <c r="B10" s="65" t="s">
        <v>363</v>
      </c>
      <c r="C10" s="65">
        <v>1</v>
      </c>
      <c r="D10" s="65">
        <f>Costos!D13</f>
        <v>3000000</v>
      </c>
      <c r="E10" s="138">
        <v>0.2</v>
      </c>
      <c r="F10" s="65">
        <f t="shared" si="0"/>
        <v>600000</v>
      </c>
    </row>
    <row r="11" spans="2:6" ht="16" customHeight="1" x14ac:dyDescent="0.2">
      <c r="B11" s="65" t="s">
        <v>364</v>
      </c>
      <c r="C11" s="65">
        <v>1</v>
      </c>
      <c r="D11" s="65">
        <f>Costos!D14</f>
        <v>1200000</v>
      </c>
      <c r="E11" s="138">
        <v>0.2</v>
      </c>
      <c r="F11" s="65">
        <f t="shared" si="0"/>
        <v>240000</v>
      </c>
    </row>
    <row r="12" spans="2:6" ht="16" customHeight="1" x14ac:dyDescent="0.2">
      <c r="B12" s="65" t="s">
        <v>335</v>
      </c>
      <c r="C12" s="65">
        <v>1</v>
      </c>
      <c r="D12" s="65">
        <v>30000</v>
      </c>
      <c r="E12" s="95"/>
      <c r="F12" s="65">
        <f>C12*D12</f>
        <v>30000</v>
      </c>
    </row>
    <row r="13" spans="2:6" ht="16" customHeight="1" x14ac:dyDescent="0.2">
      <c r="B13" s="65" t="s">
        <v>365</v>
      </c>
      <c r="C13" s="65">
        <v>1</v>
      </c>
      <c r="D13" s="65">
        <v>80000</v>
      </c>
      <c r="E13" s="95"/>
      <c r="F13" s="65">
        <f>C13*D13</f>
        <v>80000</v>
      </c>
    </row>
    <row r="14" spans="2:6" ht="16" customHeight="1" x14ac:dyDescent="0.2">
      <c r="B14" s="66" t="s">
        <v>366</v>
      </c>
      <c r="C14" s="66">
        <v>1</v>
      </c>
      <c r="D14" s="66">
        <f>F28</f>
        <v>983333.33333333337</v>
      </c>
      <c r="E14" s="66"/>
      <c r="F14" s="142">
        <f>C14*D14</f>
        <v>983333.33333333337</v>
      </c>
    </row>
    <row r="15" spans="2:6" ht="16" customHeight="1" x14ac:dyDescent="0.2">
      <c r="B15" s="67" t="s">
        <v>367</v>
      </c>
      <c r="C15" s="67"/>
      <c r="D15" s="66"/>
      <c r="E15" s="63"/>
      <c r="F15" s="63"/>
    </row>
    <row r="16" spans="2:6" ht="16" customHeight="1" x14ac:dyDescent="0.2">
      <c r="B16" s="65" t="s">
        <v>368</v>
      </c>
      <c r="C16" s="65">
        <v>1</v>
      </c>
      <c r="D16" s="65">
        <v>1750000</v>
      </c>
      <c r="E16" s="137">
        <v>1.3883000000000001</v>
      </c>
      <c r="F16" s="65">
        <f>C16*D16*E16</f>
        <v>2429525</v>
      </c>
    </row>
    <row r="17" spans="2:6" ht="16" customHeight="1" x14ac:dyDescent="0.2">
      <c r="B17" s="65" t="s">
        <v>369</v>
      </c>
      <c r="C17" s="65">
        <v>1</v>
      </c>
      <c r="D17" s="65">
        <v>2500000</v>
      </c>
      <c r="E17" s="137"/>
      <c r="F17" s="65">
        <f>+D17</f>
        <v>2500000</v>
      </c>
    </row>
    <row r="18" spans="2:6" ht="16" customHeight="1" x14ac:dyDescent="0.2">
      <c r="B18" s="65" t="s">
        <v>370</v>
      </c>
      <c r="C18" s="65">
        <v>1</v>
      </c>
      <c r="D18" s="65">
        <v>1000000</v>
      </c>
      <c r="E18" s="137"/>
      <c r="F18" s="65">
        <f>+D18</f>
        <v>1000000</v>
      </c>
    </row>
    <row r="19" spans="2:6" ht="16" customHeight="1" x14ac:dyDescent="0.2">
      <c r="B19" s="65" t="s">
        <v>371</v>
      </c>
      <c r="C19" s="65">
        <v>1</v>
      </c>
      <c r="D19" s="65">
        <f>1000000</f>
        <v>1000000</v>
      </c>
      <c r="E19" s="95"/>
      <c r="F19" s="65">
        <f>+D19</f>
        <v>1000000</v>
      </c>
    </row>
    <row r="20" spans="2:6" ht="16" customHeight="1" x14ac:dyDescent="0.2">
      <c r="B20" s="69" t="s">
        <v>372</v>
      </c>
      <c r="C20" s="69"/>
      <c r="D20" s="69"/>
      <c r="E20" s="67"/>
      <c r="F20" s="69">
        <f>SUM(F5:F17)</f>
        <v>18524578.333333336</v>
      </c>
    </row>
    <row r="21" spans="2:6" ht="16" customHeight="1" x14ac:dyDescent="0.2">
      <c r="B21" s="72" t="s">
        <v>338</v>
      </c>
      <c r="C21" s="72"/>
      <c r="D21" s="72"/>
      <c r="E21" s="63"/>
      <c r="F21" s="140">
        <f>Costos!F18</f>
        <v>240</v>
      </c>
    </row>
    <row r="22" spans="2:6" ht="16" customHeight="1" x14ac:dyDescent="0.2">
      <c r="B22" s="19" t="s">
        <v>373</v>
      </c>
      <c r="C22" s="19"/>
      <c r="D22" s="72"/>
      <c r="E22" s="63"/>
      <c r="F22" s="141">
        <f>F20/F21</f>
        <v>77185.743055555562</v>
      </c>
    </row>
    <row r="24" spans="2:6" ht="32" customHeight="1" x14ac:dyDescent="0.2">
      <c r="B24" s="30" t="s">
        <v>374</v>
      </c>
      <c r="C24" s="30" t="s">
        <v>243</v>
      </c>
      <c r="D24" s="30" t="s">
        <v>322</v>
      </c>
      <c r="E24" s="30" t="s">
        <v>341</v>
      </c>
      <c r="F24" s="30" t="s">
        <v>342</v>
      </c>
    </row>
    <row r="25" spans="2:6" ht="16" customHeight="1" x14ac:dyDescent="0.2">
      <c r="B25" s="64" t="s">
        <v>375</v>
      </c>
      <c r="C25" s="64">
        <v>4</v>
      </c>
      <c r="D25" s="64">
        <v>4000000</v>
      </c>
      <c r="E25" s="64">
        <f>C25*D25</f>
        <v>16000000</v>
      </c>
      <c r="F25" s="64">
        <f>E25*10%/12</f>
        <v>133333.33333333334</v>
      </c>
    </row>
    <row r="26" spans="2:6" ht="16" customHeight="1" x14ac:dyDescent="0.2">
      <c r="B26" s="64" t="s">
        <v>376</v>
      </c>
      <c r="C26" s="64">
        <v>6</v>
      </c>
      <c r="D26" s="64">
        <v>1000000</v>
      </c>
      <c r="E26" s="64">
        <f>C26*D26</f>
        <v>6000000</v>
      </c>
      <c r="F26" s="64">
        <f>E26*10%/12</f>
        <v>50000</v>
      </c>
    </row>
    <row r="27" spans="2:6" ht="16" customHeight="1" x14ac:dyDescent="0.2">
      <c r="B27" s="64" t="s">
        <v>377</v>
      </c>
      <c r="C27" s="64">
        <v>6</v>
      </c>
      <c r="D27" s="64">
        <v>8000000</v>
      </c>
      <c r="E27" s="64">
        <f>C27*D27</f>
        <v>48000000</v>
      </c>
      <c r="F27" s="64">
        <f>E27*20%/12</f>
        <v>800000</v>
      </c>
    </row>
    <row r="28" spans="2:6" ht="16" customHeight="1" x14ac:dyDescent="0.2">
      <c r="B28" s="69" t="s">
        <v>346</v>
      </c>
      <c r="C28" s="63"/>
      <c r="D28" s="69"/>
      <c r="E28" s="69">
        <f>SUM(E25:E27)</f>
        <v>70000000</v>
      </c>
      <c r="F28" s="66">
        <f>SUM(F25:F27)</f>
        <v>983333.33333333337</v>
      </c>
    </row>
  </sheetData>
  <pageMargins left="0.7" right="0.7" top="0.75" bottom="0.75" header="0.3" footer="0.3"/>
  <pageSetup paperSize="9" orientation="portrait" horizontalDpi="1200" verticalDpi="12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F6"/>
  <sheetViews>
    <sheetView zoomScaleNormal="100" workbookViewId="0">
      <selection activeCell="F6" sqref="F6"/>
    </sheetView>
  </sheetViews>
  <sheetFormatPr baseColWidth="10" defaultColWidth="11.5" defaultRowHeight="15" x14ac:dyDescent="0.2"/>
  <cols>
    <col min="2" max="2" width="26.6640625" style="23" bestFit="1" customWidth="1"/>
    <col min="3" max="3" width="11.83203125" style="23" customWidth="1"/>
    <col min="4" max="4" width="11.5" style="17" customWidth="1"/>
    <col min="5" max="5" width="11.5" style="23" customWidth="1"/>
  </cols>
  <sheetData>
    <row r="2" spans="2:6" x14ac:dyDescent="0.2">
      <c r="B2" s="55" t="s">
        <v>378</v>
      </c>
    </row>
    <row r="4" spans="2:6" ht="32" customHeight="1" x14ac:dyDescent="0.2">
      <c r="B4" s="38" t="s">
        <v>379</v>
      </c>
      <c r="C4" s="38" t="s">
        <v>322</v>
      </c>
      <c r="D4" s="38" t="s">
        <v>356</v>
      </c>
      <c r="E4" s="38" t="s">
        <v>380</v>
      </c>
      <c r="F4" s="38" t="s">
        <v>262</v>
      </c>
    </row>
    <row r="5" spans="2:6" ht="16" customHeight="1" x14ac:dyDescent="0.2">
      <c r="B5" s="38" t="s">
        <v>381</v>
      </c>
      <c r="C5" s="52">
        <f>Costos!F19</f>
        <v>106104.75</v>
      </c>
      <c r="D5" s="52">
        <f>Gastos!F22</f>
        <v>77185.743055555562</v>
      </c>
      <c r="E5" s="162">
        <v>0.15</v>
      </c>
      <c r="F5" s="125">
        <f>(C5+D5)*(1+E5)</f>
        <v>210784.06701388888</v>
      </c>
    </row>
    <row r="6" spans="2:6" ht="16" customHeight="1" x14ac:dyDescent="0.2">
      <c r="B6" s="38" t="s">
        <v>382</v>
      </c>
      <c r="C6" s="52">
        <f>C5</f>
        <v>106104.75</v>
      </c>
      <c r="D6" s="52">
        <f>D5</f>
        <v>77185.743055555562</v>
      </c>
      <c r="E6" s="162">
        <f>E5</f>
        <v>0.15</v>
      </c>
      <c r="F6" s="163">
        <f>(C6+D6)/(1-E6)</f>
        <v>215635.87418300656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992"/>
  <sheetViews>
    <sheetView topLeftCell="A3" zoomScaleNormal="100" workbookViewId="0">
      <selection activeCell="G9" sqref="G9"/>
    </sheetView>
  </sheetViews>
  <sheetFormatPr baseColWidth="10" defaultColWidth="14.5" defaultRowHeight="15" x14ac:dyDescent="0.2"/>
  <cols>
    <col min="1" max="1" width="2.1640625" customWidth="1"/>
    <col min="2" max="2" width="38.33203125" customWidth="1"/>
    <col min="3" max="3" width="14.33203125" customWidth="1"/>
    <col min="4" max="4" width="13.83203125" customWidth="1"/>
    <col min="5" max="5" width="15" customWidth="1"/>
    <col min="6" max="6" width="13.5" customWidth="1"/>
    <col min="7" max="7" width="13" customWidth="1"/>
    <col min="8" max="8" width="12.5" customWidth="1"/>
    <col min="9" max="9" width="14.83203125" customWidth="1"/>
    <col min="10" max="10" width="13.5" customWidth="1"/>
    <col min="11" max="11" width="14.33203125" customWidth="1"/>
    <col min="12" max="12" width="13.33203125" customWidth="1"/>
    <col min="13" max="13" width="13.6640625" customWidth="1"/>
    <col min="14" max="14" width="14.1640625" customWidth="1"/>
    <col min="15" max="15" width="14.6640625" customWidth="1"/>
    <col min="16" max="24" width="18" customWidth="1"/>
  </cols>
  <sheetData>
    <row r="1" spans="1:24" ht="28.5" customHeight="1" x14ac:dyDescent="0.2">
      <c r="A1" s="151"/>
      <c r="B1" s="151"/>
      <c r="C1" s="151"/>
      <c r="D1" s="151"/>
      <c r="E1" s="151"/>
      <c r="F1" s="151"/>
      <c r="G1" s="252" t="s">
        <v>383</v>
      </c>
      <c r="H1" s="250"/>
      <c r="I1" s="2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</row>
    <row r="2" spans="1:24" ht="24.75" customHeight="1" x14ac:dyDescent="0.2">
      <c r="A2" s="151"/>
      <c r="B2" s="151"/>
      <c r="C2" s="151"/>
      <c r="D2" s="151"/>
      <c r="E2" s="151"/>
      <c r="F2" s="151"/>
      <c r="G2" s="253" t="s">
        <v>384</v>
      </c>
      <c r="H2" s="251"/>
      <c r="I2" s="152">
        <v>1300000</v>
      </c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</row>
    <row r="3" spans="1:24" ht="24.75" customHeight="1" x14ac:dyDescent="0.2">
      <c r="A3" s="151"/>
      <c r="B3" s="151"/>
      <c r="C3" s="151"/>
      <c r="D3" s="151"/>
      <c r="E3" s="151"/>
      <c r="F3" s="151"/>
      <c r="G3" s="253" t="s">
        <v>385</v>
      </c>
      <c r="H3" s="251"/>
      <c r="I3" s="152">
        <v>162000</v>
      </c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</row>
    <row r="4" spans="1:24" ht="34.5" customHeight="1" x14ac:dyDescent="0.2">
      <c r="A4" s="151"/>
      <c r="B4" s="151"/>
      <c r="C4" s="151"/>
      <c r="D4" s="151"/>
      <c r="E4" s="151"/>
      <c r="F4" s="151"/>
      <c r="G4" s="253" t="s">
        <v>386</v>
      </c>
      <c r="H4" s="251"/>
      <c r="I4" s="153" t="s">
        <v>387</v>
      </c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</row>
    <row r="5" spans="1:24" ht="15" customHeight="1" x14ac:dyDescent="0.2">
      <c r="A5" s="151"/>
      <c r="B5" s="151"/>
      <c r="C5" s="254"/>
      <c r="D5" s="255"/>
      <c r="E5" s="255"/>
      <c r="F5" s="255"/>
      <c r="G5" s="255"/>
      <c r="H5" s="255"/>
      <c r="I5" s="255"/>
      <c r="J5" s="265"/>
      <c r="K5" s="239"/>
      <c r="L5" s="239"/>
      <c r="M5" s="239"/>
      <c r="N5" s="239"/>
      <c r="O5" s="151"/>
      <c r="P5" s="151"/>
      <c r="Q5" s="151"/>
      <c r="R5" s="151"/>
      <c r="S5" s="151"/>
      <c r="T5" s="151"/>
      <c r="U5" s="151"/>
      <c r="V5" s="151"/>
      <c r="W5" s="151"/>
      <c r="X5" s="151"/>
    </row>
    <row r="6" spans="1:24" ht="15" customHeight="1" x14ac:dyDescent="0.2">
      <c r="A6" s="151"/>
      <c r="B6" s="262" t="s">
        <v>388</v>
      </c>
      <c r="C6" s="261" t="s">
        <v>389</v>
      </c>
      <c r="D6" s="250"/>
      <c r="E6" s="250"/>
      <c r="F6" s="250"/>
      <c r="G6" s="250"/>
      <c r="H6" s="250"/>
      <c r="I6" s="251"/>
      <c r="J6" s="261" t="s">
        <v>390</v>
      </c>
      <c r="K6" s="250"/>
      <c r="L6" s="250"/>
      <c r="M6" s="250"/>
      <c r="N6" s="251"/>
      <c r="O6" s="247" t="s">
        <v>391</v>
      </c>
      <c r="P6" s="151"/>
      <c r="Q6" s="151"/>
      <c r="R6" s="151"/>
      <c r="S6" s="151"/>
      <c r="T6" s="151"/>
      <c r="U6" s="151"/>
      <c r="V6" s="151"/>
      <c r="W6" s="151"/>
      <c r="X6" s="151"/>
    </row>
    <row r="7" spans="1:24" ht="48" customHeight="1" x14ac:dyDescent="0.2">
      <c r="A7" s="154"/>
      <c r="B7" s="263"/>
      <c r="C7" s="155" t="s">
        <v>392</v>
      </c>
      <c r="D7" s="155" t="s">
        <v>393</v>
      </c>
      <c r="E7" s="155" t="s">
        <v>394</v>
      </c>
      <c r="F7" s="155" t="s">
        <v>395</v>
      </c>
      <c r="G7" s="155" t="s">
        <v>396</v>
      </c>
      <c r="H7" s="155" t="s">
        <v>397</v>
      </c>
      <c r="I7" s="155" t="s">
        <v>398</v>
      </c>
      <c r="J7" s="156" t="s">
        <v>399</v>
      </c>
      <c r="K7" s="156" t="s">
        <v>400</v>
      </c>
      <c r="L7" s="157" t="s">
        <v>401</v>
      </c>
      <c r="M7" s="157" t="s">
        <v>402</v>
      </c>
      <c r="N7" s="157" t="s">
        <v>403</v>
      </c>
      <c r="O7" s="248"/>
      <c r="P7" s="154"/>
      <c r="Q7" s="154"/>
      <c r="R7" s="154"/>
      <c r="S7" s="154"/>
      <c r="T7" s="154"/>
      <c r="U7" s="154"/>
      <c r="V7" s="154"/>
      <c r="W7" s="154"/>
      <c r="X7" s="154"/>
    </row>
    <row r="8" spans="1:24" x14ac:dyDescent="0.2">
      <c r="A8" s="151"/>
      <c r="B8" s="196" t="s">
        <v>329</v>
      </c>
      <c r="C8" s="65">
        <v>2000000</v>
      </c>
      <c r="D8" s="158">
        <v>30</v>
      </c>
      <c r="E8" s="158">
        <f t="shared" ref="E8:E16" si="0">(C8/30)*D8</f>
        <v>2000000.0000000002</v>
      </c>
      <c r="F8" s="158">
        <v>3</v>
      </c>
      <c r="G8" s="158">
        <v>3</v>
      </c>
      <c r="H8" s="158">
        <f t="shared" ref="H8:H16" si="1">IF(C8&gt;$I$2*2,0,($I$3/30*D8))</f>
        <v>162000</v>
      </c>
      <c r="I8" s="158">
        <f t="shared" ref="I8:I16" si="2">SUM(E8:H8)</f>
        <v>2162006</v>
      </c>
      <c r="J8" s="158">
        <f t="shared" ref="J8:J16" si="3">(I8-H8)*0.04</f>
        <v>80000.240000000005</v>
      </c>
      <c r="K8" s="158">
        <f t="shared" ref="K8:K16" si="4">(I8-H8)*0.04</f>
        <v>80000.240000000005</v>
      </c>
      <c r="L8" s="158">
        <f t="shared" ref="L8:L16" si="5">(I8-H8)*(IF(AND(((I8-H8)/$I$2)&gt;=4,((I8-H8)/$I$2)&lt;16),1,IF(AND(((I8-H8)/$I$2)&gt;=16,((I8-H8)/$I$2)&lt;=17),1.2,IF(AND(((I8-H8)/$I$2)&gt;17,((I8-H8)/$I$2)&lt;=18),1.4,IF(AND(((I8-H8)/$I$2)&gt;18,((I8-H8)/$I$2)&lt;=19),1.6,IF(AND(((I8-H8)/$I$2)&gt;19,((I8-H8)/$I$2)&lt;=20),1.8,IF(((I8-H8)/$I$2)&gt;20,2,0))))))/100)</f>
        <v>0</v>
      </c>
      <c r="M8" s="158">
        <v>0</v>
      </c>
      <c r="N8" s="158">
        <v>0</v>
      </c>
      <c r="O8" s="158">
        <f t="shared" ref="O8:O16" si="6">I8-J8-K8-L8-M8-N8</f>
        <v>2002005.52</v>
      </c>
      <c r="P8" s="151"/>
      <c r="Q8" s="151"/>
      <c r="R8" s="151"/>
      <c r="S8" s="151"/>
      <c r="T8" s="151"/>
      <c r="U8" s="151"/>
      <c r="V8" s="151"/>
      <c r="W8" s="151"/>
      <c r="X8" s="151"/>
    </row>
    <row r="9" spans="1:24" ht="16" customHeight="1" x14ac:dyDescent="0.2">
      <c r="A9" s="151"/>
      <c r="B9" s="65" t="s">
        <v>328</v>
      </c>
      <c r="C9" s="65">
        <v>2800000</v>
      </c>
      <c r="D9" s="158">
        <v>30</v>
      </c>
      <c r="E9" s="158">
        <f t="shared" si="0"/>
        <v>2800000</v>
      </c>
      <c r="F9" s="158">
        <v>0</v>
      </c>
      <c r="G9" s="158">
        <v>0</v>
      </c>
      <c r="H9" s="158">
        <f t="shared" si="1"/>
        <v>0</v>
      </c>
      <c r="I9" s="158">
        <f t="shared" si="2"/>
        <v>2800000</v>
      </c>
      <c r="J9" s="158">
        <f t="shared" si="3"/>
        <v>112000</v>
      </c>
      <c r="K9" s="158">
        <f t="shared" si="4"/>
        <v>112000</v>
      </c>
      <c r="L9" s="158">
        <f t="shared" si="5"/>
        <v>0</v>
      </c>
      <c r="M9" s="158"/>
      <c r="N9" s="158"/>
      <c r="O9" s="158">
        <f t="shared" si="6"/>
        <v>2576000</v>
      </c>
      <c r="P9" s="151"/>
      <c r="Q9" s="151"/>
      <c r="R9" s="151"/>
      <c r="S9" s="151"/>
      <c r="T9" s="151"/>
      <c r="U9" s="151"/>
      <c r="V9" s="151"/>
      <c r="W9" s="151"/>
      <c r="X9" s="151"/>
    </row>
    <row r="10" spans="1:24" x14ac:dyDescent="0.2">
      <c r="A10" s="151"/>
      <c r="B10" s="196" t="s">
        <v>331</v>
      </c>
      <c r="C10" s="64">
        <v>2500000</v>
      </c>
      <c r="D10" s="158">
        <v>30</v>
      </c>
      <c r="E10" s="158">
        <f t="shared" si="0"/>
        <v>2500000</v>
      </c>
      <c r="F10" s="158">
        <v>0</v>
      </c>
      <c r="G10" s="158">
        <v>0</v>
      </c>
      <c r="H10" s="158">
        <f t="shared" si="1"/>
        <v>162000</v>
      </c>
      <c r="I10" s="158">
        <f t="shared" si="2"/>
        <v>2662000</v>
      </c>
      <c r="J10" s="158">
        <f t="shared" si="3"/>
        <v>100000</v>
      </c>
      <c r="K10" s="158">
        <f t="shared" si="4"/>
        <v>100000</v>
      </c>
      <c r="L10" s="158">
        <f t="shared" si="5"/>
        <v>0</v>
      </c>
      <c r="M10" s="158"/>
      <c r="N10" s="158"/>
      <c r="O10" s="158">
        <f t="shared" si="6"/>
        <v>2462000</v>
      </c>
      <c r="P10" s="151"/>
      <c r="Q10" s="151"/>
      <c r="R10" s="151"/>
      <c r="S10" s="151"/>
      <c r="T10" s="151"/>
      <c r="U10" s="151"/>
      <c r="V10" s="151"/>
      <c r="W10" s="151"/>
      <c r="X10" s="151"/>
    </row>
    <row r="11" spans="1:24" x14ac:dyDescent="0.2">
      <c r="A11" s="151"/>
      <c r="B11" s="196" t="s">
        <v>332</v>
      </c>
      <c r="C11" s="64">
        <v>3000000</v>
      </c>
      <c r="D11" s="158">
        <v>30</v>
      </c>
      <c r="E11" s="158">
        <f t="shared" si="0"/>
        <v>3000000</v>
      </c>
      <c r="F11" s="158">
        <v>0</v>
      </c>
      <c r="G11" s="158">
        <v>0</v>
      </c>
      <c r="H11" s="158">
        <f t="shared" si="1"/>
        <v>0</v>
      </c>
      <c r="I11" s="158">
        <f t="shared" si="2"/>
        <v>3000000</v>
      </c>
      <c r="J11" s="158">
        <f t="shared" si="3"/>
        <v>120000</v>
      </c>
      <c r="K11" s="158">
        <f t="shared" si="4"/>
        <v>120000</v>
      </c>
      <c r="L11" s="158">
        <f t="shared" si="5"/>
        <v>0</v>
      </c>
      <c r="M11" s="158"/>
      <c r="N11" s="158"/>
      <c r="O11" s="158">
        <f t="shared" si="6"/>
        <v>2760000</v>
      </c>
      <c r="P11" s="151"/>
      <c r="Q11" s="151"/>
      <c r="R11" s="151"/>
      <c r="S11" s="151"/>
      <c r="T11" s="151"/>
      <c r="U11" s="151"/>
      <c r="V11" s="151"/>
      <c r="W11" s="151"/>
      <c r="X11" s="151"/>
    </row>
    <row r="12" spans="1:24" ht="16" customHeight="1" x14ac:dyDescent="0.2">
      <c r="A12" s="151"/>
      <c r="B12" s="65" t="s">
        <v>404</v>
      </c>
      <c r="C12" s="65">
        <v>4000000</v>
      </c>
      <c r="D12" s="158">
        <v>30</v>
      </c>
      <c r="E12" s="158">
        <f t="shared" si="0"/>
        <v>4000000.0000000005</v>
      </c>
      <c r="F12" s="158">
        <v>0</v>
      </c>
      <c r="G12" s="158">
        <v>0</v>
      </c>
      <c r="H12" s="158">
        <f t="shared" si="1"/>
        <v>0</v>
      </c>
      <c r="I12" s="158">
        <f t="shared" si="2"/>
        <v>4000000.0000000005</v>
      </c>
      <c r="J12" s="158">
        <f t="shared" si="3"/>
        <v>160000.00000000003</v>
      </c>
      <c r="K12" s="158">
        <f t="shared" si="4"/>
        <v>160000.00000000003</v>
      </c>
      <c r="L12" s="158">
        <f t="shared" si="5"/>
        <v>0</v>
      </c>
      <c r="M12" s="158"/>
      <c r="N12" s="158"/>
      <c r="O12" s="158">
        <f t="shared" si="6"/>
        <v>3680000.0000000005</v>
      </c>
      <c r="P12" s="151"/>
      <c r="Q12" s="151"/>
      <c r="R12" s="151"/>
      <c r="S12" s="151"/>
      <c r="T12" s="151"/>
      <c r="U12" s="151"/>
      <c r="V12" s="151"/>
      <c r="W12" s="151"/>
      <c r="X12" s="151"/>
    </row>
    <row r="13" spans="1:24" ht="16" customHeight="1" x14ac:dyDescent="0.2">
      <c r="A13" s="151"/>
      <c r="B13" s="65" t="s">
        <v>405</v>
      </c>
      <c r="C13" s="65">
        <v>1500000</v>
      </c>
      <c r="D13" s="158">
        <v>30</v>
      </c>
      <c r="E13" s="158">
        <f t="shared" si="0"/>
        <v>1500000</v>
      </c>
      <c r="F13" s="158">
        <v>0</v>
      </c>
      <c r="G13" s="158">
        <v>0</v>
      </c>
      <c r="H13" s="158">
        <f t="shared" si="1"/>
        <v>162000</v>
      </c>
      <c r="I13" s="158">
        <f t="shared" si="2"/>
        <v>1662000</v>
      </c>
      <c r="J13" s="158">
        <f t="shared" si="3"/>
        <v>60000</v>
      </c>
      <c r="K13" s="158">
        <f t="shared" si="4"/>
        <v>60000</v>
      </c>
      <c r="L13" s="158">
        <f t="shared" si="5"/>
        <v>0</v>
      </c>
      <c r="M13" s="158"/>
      <c r="N13" s="158"/>
      <c r="O13" s="158">
        <f t="shared" si="6"/>
        <v>1542000</v>
      </c>
      <c r="P13" s="151"/>
      <c r="Q13" s="151"/>
      <c r="R13" s="151"/>
      <c r="S13" s="151"/>
      <c r="T13" s="151"/>
      <c r="U13" s="151"/>
      <c r="V13" s="151"/>
      <c r="W13" s="151"/>
      <c r="X13" s="151"/>
    </row>
    <row r="14" spans="1:24" ht="16" customHeight="1" x14ac:dyDescent="0.2">
      <c r="A14" s="151"/>
      <c r="B14" s="65" t="s">
        <v>406</v>
      </c>
      <c r="C14" s="65">
        <v>1400000</v>
      </c>
      <c r="D14" s="158">
        <v>30</v>
      </c>
      <c r="E14" s="158">
        <f t="shared" si="0"/>
        <v>1400000</v>
      </c>
      <c r="F14" s="158">
        <v>0</v>
      </c>
      <c r="G14" s="158">
        <v>0</v>
      </c>
      <c r="H14" s="158">
        <f t="shared" si="1"/>
        <v>162000</v>
      </c>
      <c r="I14" s="158">
        <f t="shared" si="2"/>
        <v>1562000</v>
      </c>
      <c r="J14" s="158">
        <f t="shared" si="3"/>
        <v>56000</v>
      </c>
      <c r="K14" s="158">
        <f t="shared" si="4"/>
        <v>56000</v>
      </c>
      <c r="L14" s="158">
        <f t="shared" si="5"/>
        <v>0</v>
      </c>
      <c r="M14" s="158"/>
      <c r="N14" s="158"/>
      <c r="O14" s="158">
        <f t="shared" si="6"/>
        <v>1450000</v>
      </c>
      <c r="P14" s="151"/>
      <c r="Q14" s="151"/>
      <c r="R14" s="151"/>
      <c r="S14" s="151"/>
      <c r="T14" s="151"/>
      <c r="U14" s="151"/>
      <c r="V14" s="151"/>
      <c r="W14" s="151"/>
      <c r="X14" s="151"/>
    </row>
    <row r="15" spans="1:24" ht="16" customHeight="1" x14ac:dyDescent="0.2">
      <c r="A15" s="151"/>
      <c r="B15" s="65" t="s">
        <v>407</v>
      </c>
      <c r="C15" s="65">
        <v>1500000</v>
      </c>
      <c r="D15" s="158">
        <v>30</v>
      </c>
      <c r="E15" s="158">
        <f t="shared" si="0"/>
        <v>1500000</v>
      </c>
      <c r="F15" s="158">
        <v>0</v>
      </c>
      <c r="G15" s="158">
        <v>0</v>
      </c>
      <c r="H15" s="158">
        <f t="shared" si="1"/>
        <v>162000</v>
      </c>
      <c r="I15" s="158">
        <f t="shared" si="2"/>
        <v>1662000</v>
      </c>
      <c r="J15" s="158">
        <f t="shared" si="3"/>
        <v>60000</v>
      </c>
      <c r="K15" s="158">
        <f t="shared" si="4"/>
        <v>60000</v>
      </c>
      <c r="L15" s="158">
        <f t="shared" si="5"/>
        <v>0</v>
      </c>
      <c r="M15" s="158"/>
      <c r="N15" s="158"/>
      <c r="O15" s="158">
        <f t="shared" si="6"/>
        <v>1542000</v>
      </c>
      <c r="P15" s="151"/>
      <c r="Q15" s="151"/>
      <c r="R15" s="151"/>
      <c r="S15" s="151"/>
      <c r="T15" s="151"/>
      <c r="U15" s="151"/>
      <c r="V15" s="151"/>
      <c r="W15" s="151"/>
      <c r="X15" s="151"/>
    </row>
    <row r="16" spans="1:24" ht="16" customHeight="1" x14ac:dyDescent="0.2">
      <c r="A16" s="151"/>
      <c r="B16" s="65" t="s">
        <v>368</v>
      </c>
      <c r="C16" s="65">
        <v>1750000</v>
      </c>
      <c r="D16" s="158">
        <v>30</v>
      </c>
      <c r="E16" s="158">
        <f t="shared" si="0"/>
        <v>1750000</v>
      </c>
      <c r="F16" s="158">
        <v>0</v>
      </c>
      <c r="G16" s="158">
        <v>0</v>
      </c>
      <c r="H16" s="158">
        <f t="shared" si="1"/>
        <v>162000</v>
      </c>
      <c r="I16" s="158">
        <f t="shared" si="2"/>
        <v>1912000</v>
      </c>
      <c r="J16" s="158">
        <f t="shared" si="3"/>
        <v>70000</v>
      </c>
      <c r="K16" s="158">
        <f t="shared" si="4"/>
        <v>70000</v>
      </c>
      <c r="L16" s="158">
        <f t="shared" si="5"/>
        <v>0</v>
      </c>
      <c r="M16" s="158"/>
      <c r="N16" s="158"/>
      <c r="O16" s="158">
        <f t="shared" si="6"/>
        <v>1772000</v>
      </c>
      <c r="P16" s="151"/>
      <c r="Q16" s="151"/>
      <c r="R16" s="151"/>
      <c r="S16" s="151"/>
      <c r="T16" s="151"/>
      <c r="U16" s="151"/>
      <c r="V16" s="151"/>
      <c r="W16" s="151"/>
      <c r="X16" s="151"/>
    </row>
    <row r="17" spans="1:24" ht="15.75" customHeight="1" x14ac:dyDescent="0.2">
      <c r="A17" s="159"/>
      <c r="B17" s="259" t="s">
        <v>346</v>
      </c>
      <c r="C17" s="250"/>
      <c r="D17" s="251"/>
      <c r="E17" s="160">
        <f t="shared" ref="E17:O17" si="7">SUM(E8:E16)</f>
        <v>20450000</v>
      </c>
      <c r="F17" s="160">
        <f t="shared" si="7"/>
        <v>3</v>
      </c>
      <c r="G17" s="160">
        <f t="shared" si="7"/>
        <v>3</v>
      </c>
      <c r="H17" s="160">
        <f t="shared" si="7"/>
        <v>972000</v>
      </c>
      <c r="I17" s="160">
        <f t="shared" si="7"/>
        <v>21422006</v>
      </c>
      <c r="J17" s="160">
        <f t="shared" si="7"/>
        <v>818000.24</v>
      </c>
      <c r="K17" s="160">
        <f t="shared" si="7"/>
        <v>818000.24</v>
      </c>
      <c r="L17" s="160">
        <f t="shared" si="7"/>
        <v>0</v>
      </c>
      <c r="M17" s="160">
        <f t="shared" si="7"/>
        <v>0</v>
      </c>
      <c r="N17" s="160">
        <f t="shared" si="7"/>
        <v>0</v>
      </c>
      <c r="O17" s="160">
        <f t="shared" si="7"/>
        <v>19786005.52</v>
      </c>
      <c r="P17" s="159"/>
      <c r="Q17" s="159"/>
      <c r="R17" s="159"/>
      <c r="S17" s="159"/>
      <c r="T17" s="159"/>
      <c r="U17" s="159"/>
      <c r="V17" s="159"/>
      <c r="W17" s="159"/>
      <c r="X17" s="159"/>
    </row>
    <row r="18" spans="1:24" ht="15.75" customHeight="1" x14ac:dyDescent="0.2">
      <c r="A18" s="151"/>
      <c r="B18" s="151"/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</row>
    <row r="19" spans="1:24" ht="15.75" customHeight="1" x14ac:dyDescent="0.2">
      <c r="A19" s="151"/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</row>
    <row r="20" spans="1:24" ht="17.25" customHeight="1" x14ac:dyDescent="0.2">
      <c r="A20" s="151"/>
      <c r="B20" s="151"/>
      <c r="C20" s="151"/>
      <c r="D20" s="151"/>
      <c r="E20" s="151"/>
      <c r="F20" s="151"/>
      <c r="G20" s="151"/>
      <c r="H20" s="151"/>
      <c r="I20" s="256" t="s">
        <v>408</v>
      </c>
      <c r="J20" s="239"/>
      <c r="K20" s="239"/>
      <c r="L20" s="257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</row>
    <row r="21" spans="1:24" ht="15.75" customHeight="1" x14ac:dyDescent="0.2">
      <c r="A21" s="151"/>
      <c r="B21" s="151"/>
      <c r="C21" s="151"/>
      <c r="D21" s="151"/>
      <c r="E21" s="151"/>
      <c r="F21" s="151"/>
      <c r="G21" s="151"/>
      <c r="H21" s="151"/>
      <c r="I21" s="255"/>
      <c r="J21" s="255"/>
      <c r="K21" s="255"/>
      <c r="L21" s="258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</row>
    <row r="22" spans="1:24" ht="15.75" customHeight="1" x14ac:dyDescent="0.2">
      <c r="A22" s="151"/>
      <c r="B22" s="151"/>
      <c r="C22" s="151"/>
      <c r="D22" s="151"/>
      <c r="E22" s="151"/>
      <c r="F22" s="151"/>
      <c r="G22" s="151"/>
      <c r="H22" s="151"/>
      <c r="I22" s="260" t="s">
        <v>409</v>
      </c>
      <c r="J22" s="250"/>
      <c r="K22" s="251"/>
      <c r="L22" s="158">
        <f>(I17-H17)*0.12</f>
        <v>2454000.7199999997</v>
      </c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</row>
    <row r="23" spans="1:24" ht="15.75" customHeight="1" x14ac:dyDescent="0.2">
      <c r="A23" s="151"/>
      <c r="B23" s="151"/>
      <c r="C23" s="151"/>
      <c r="D23" s="151"/>
      <c r="E23" s="151"/>
      <c r="F23" s="151"/>
      <c r="G23" s="151"/>
      <c r="H23" s="151"/>
      <c r="I23" s="260" t="s">
        <v>410</v>
      </c>
      <c r="J23" s="250"/>
      <c r="K23" s="251"/>
      <c r="L23" s="158">
        <f>IF(I4="Si",(SUMIF(I8:I16,"&gt;"&amp;I2*10,I8:I16))*0.085,(I17-H17)*0.085)</f>
        <v>0</v>
      </c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</row>
    <row r="24" spans="1:24" ht="15.75" customHeight="1" x14ac:dyDescent="0.2">
      <c r="A24" s="151"/>
      <c r="B24" s="151"/>
      <c r="C24" s="151"/>
      <c r="D24" s="151"/>
      <c r="E24" s="151"/>
      <c r="F24" s="151"/>
      <c r="G24" s="151"/>
      <c r="H24" s="151"/>
      <c r="I24" s="260" t="s">
        <v>411</v>
      </c>
      <c r="J24" s="250"/>
      <c r="K24" s="251"/>
      <c r="L24" s="158">
        <f>(I17-H17)*0.00522</f>
        <v>106749.03131999999</v>
      </c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</row>
    <row r="25" spans="1:24" ht="15.75" customHeight="1" x14ac:dyDescent="0.2">
      <c r="A25" s="151"/>
      <c r="B25" s="151"/>
      <c r="C25" s="151"/>
      <c r="D25" s="151"/>
      <c r="E25" s="151"/>
      <c r="F25" s="151"/>
      <c r="G25" s="151"/>
      <c r="H25" s="151"/>
      <c r="I25" s="249" t="s">
        <v>412</v>
      </c>
      <c r="J25" s="250"/>
      <c r="K25" s="251"/>
      <c r="L25" s="158">
        <f>IF(I4="Si",(SUMIF(I8:I16,"&gt;"&amp;I2*10,I8:I16))*0.02,(I17-H17)*0.02)</f>
        <v>0</v>
      </c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</row>
    <row r="26" spans="1:24" ht="15.75" customHeight="1" x14ac:dyDescent="0.2">
      <c r="A26" s="151"/>
      <c r="B26" s="151"/>
      <c r="C26" s="151"/>
      <c r="D26" s="151"/>
      <c r="E26" s="151"/>
      <c r="F26" s="151"/>
      <c r="G26" s="151"/>
      <c r="H26" s="151"/>
      <c r="I26" s="249" t="s">
        <v>413</v>
      </c>
      <c r="J26" s="250"/>
      <c r="K26" s="251"/>
      <c r="L26" s="158">
        <f>IF(I4="Si",(SUMIF(I8:I16,"&gt;"&amp;I2*10,I8:I16))*0.03,(I17-H17)*0.03)</f>
        <v>0</v>
      </c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</row>
    <row r="27" spans="1:24" ht="15.75" customHeight="1" x14ac:dyDescent="0.2">
      <c r="A27" s="151"/>
      <c r="B27" s="151"/>
      <c r="C27" s="151"/>
      <c r="D27" s="151"/>
      <c r="E27" s="151"/>
      <c r="F27" s="151"/>
      <c r="G27" s="151"/>
      <c r="H27" s="151"/>
      <c r="I27" s="249" t="s">
        <v>414</v>
      </c>
      <c r="J27" s="250"/>
      <c r="K27" s="251"/>
      <c r="L27" s="158">
        <f>(I17-H17)*0.04</f>
        <v>818000.24</v>
      </c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</row>
    <row r="28" spans="1:24" ht="15.75" customHeight="1" x14ac:dyDescent="0.2">
      <c r="A28" s="151"/>
      <c r="B28" s="151"/>
      <c r="C28" s="151"/>
      <c r="D28" s="151"/>
      <c r="E28" s="151"/>
      <c r="F28" s="151"/>
      <c r="G28" s="151"/>
      <c r="H28" s="151"/>
      <c r="I28" s="249" t="s">
        <v>415</v>
      </c>
      <c r="J28" s="250"/>
      <c r="K28" s="251"/>
      <c r="L28" s="158">
        <f>I17*0.0833</f>
        <v>1784453.0998</v>
      </c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</row>
    <row r="29" spans="1:24" ht="15.75" customHeight="1" x14ac:dyDescent="0.2">
      <c r="A29" s="151"/>
      <c r="B29" s="151"/>
      <c r="C29" s="151"/>
      <c r="D29" s="151"/>
      <c r="E29" s="151"/>
      <c r="F29" s="151"/>
      <c r="G29" s="151"/>
      <c r="H29" s="151"/>
      <c r="I29" s="249" t="s">
        <v>416</v>
      </c>
      <c r="J29" s="250"/>
      <c r="K29" s="251"/>
      <c r="L29" s="158">
        <f>I17*0.0833</f>
        <v>1784453.0998</v>
      </c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</row>
    <row r="30" spans="1:24" ht="15.75" customHeight="1" x14ac:dyDescent="0.2">
      <c r="A30" s="151"/>
      <c r="B30" s="151"/>
      <c r="C30" s="151"/>
      <c r="D30" s="151"/>
      <c r="E30" s="151"/>
      <c r="F30" s="151"/>
      <c r="G30" s="151"/>
      <c r="H30" s="151"/>
      <c r="I30" s="249" t="s">
        <v>417</v>
      </c>
      <c r="J30" s="250"/>
      <c r="K30" s="251"/>
      <c r="L30" s="158">
        <f>L29*0.12</f>
        <v>214134.37197599999</v>
      </c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</row>
    <row r="31" spans="1:24" ht="15.75" customHeight="1" x14ac:dyDescent="0.2">
      <c r="A31" s="151"/>
      <c r="B31" s="151"/>
      <c r="C31" s="151"/>
      <c r="D31" s="151"/>
      <c r="E31" s="151"/>
      <c r="F31" s="151"/>
      <c r="G31" s="151"/>
      <c r="H31" s="151"/>
      <c r="I31" s="249" t="s">
        <v>418</v>
      </c>
      <c r="J31" s="250"/>
      <c r="K31" s="251"/>
      <c r="L31" s="158">
        <f>(I17-F17-G17-H17)*0.0417</f>
        <v>852765</v>
      </c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</row>
    <row r="32" spans="1:24" ht="15.75" customHeight="1" x14ac:dyDescent="0.2">
      <c r="A32" s="151"/>
      <c r="B32" s="151"/>
      <c r="C32" s="151"/>
      <c r="D32" s="151"/>
      <c r="E32" s="151"/>
      <c r="F32" s="151"/>
      <c r="G32" s="151"/>
      <c r="H32" s="151"/>
      <c r="I32" s="264" t="s">
        <v>419</v>
      </c>
      <c r="J32" s="250"/>
      <c r="K32" s="251"/>
      <c r="L32" s="161">
        <f>SUM(L22:L31)</f>
        <v>8014555.5628960002</v>
      </c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</row>
    <row r="33" spans="1:24" ht="15.75" customHeight="1" x14ac:dyDescent="0.2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</row>
    <row r="34" spans="1:24" ht="15.75" customHeight="1" x14ac:dyDescent="0.2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</row>
    <row r="35" spans="1:24" ht="15.75" customHeight="1" x14ac:dyDescent="0.2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</row>
    <row r="36" spans="1:24" ht="15.75" customHeight="1" x14ac:dyDescent="0.2">
      <c r="A36" s="151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</row>
    <row r="37" spans="1:24" ht="15.75" customHeight="1" x14ac:dyDescent="0.2">
      <c r="A37" s="151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</row>
    <row r="38" spans="1:24" ht="15.75" customHeight="1" x14ac:dyDescent="0.2">
      <c r="A38" s="151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</row>
    <row r="39" spans="1:24" ht="15.75" customHeight="1" x14ac:dyDescent="0.2">
      <c r="A39" s="151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</row>
    <row r="40" spans="1:24" ht="15.75" customHeight="1" x14ac:dyDescent="0.2">
      <c r="A40" s="151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</row>
    <row r="41" spans="1:24" ht="15.75" customHeight="1" x14ac:dyDescent="0.2">
      <c r="A41" s="151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</row>
    <row r="42" spans="1:24" ht="15.75" customHeight="1" x14ac:dyDescent="0.2">
      <c r="A42" s="151"/>
      <c r="B42" s="151"/>
      <c r="C42" s="151"/>
      <c r="D42" s="151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</row>
    <row r="43" spans="1:24" ht="15.75" customHeight="1" x14ac:dyDescent="0.2">
      <c r="A43" s="151"/>
      <c r="B43" s="151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</row>
    <row r="44" spans="1:24" ht="15.75" customHeight="1" x14ac:dyDescent="0.2">
      <c r="A44" s="151"/>
      <c r="B44" s="151"/>
      <c r="C44" s="151"/>
      <c r="D44" s="151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</row>
    <row r="45" spans="1:24" ht="15.75" customHeight="1" x14ac:dyDescent="0.2">
      <c r="A45" s="151"/>
      <c r="B45" s="151"/>
      <c r="C45" s="151"/>
      <c r="D45" s="151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</row>
    <row r="46" spans="1:24" ht="15.75" customHeight="1" x14ac:dyDescent="0.2">
      <c r="A46" s="151"/>
      <c r="B46" s="151"/>
      <c r="C46" s="151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</row>
    <row r="47" spans="1:24" ht="15.75" customHeight="1" x14ac:dyDescent="0.2">
      <c r="A47" s="151"/>
      <c r="B47" s="151"/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</row>
    <row r="48" spans="1:24" ht="15.75" customHeight="1" x14ac:dyDescent="0.2">
      <c r="A48" s="151"/>
      <c r="B48" s="151"/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</row>
    <row r="49" spans="1:24" ht="15.75" customHeight="1" x14ac:dyDescent="0.2">
      <c r="A49" s="151"/>
      <c r="B49" s="151"/>
      <c r="C49" s="151"/>
      <c r="D49" s="151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</row>
    <row r="50" spans="1:24" ht="15.75" customHeight="1" x14ac:dyDescent="0.2">
      <c r="A50" s="151"/>
      <c r="B50" s="151"/>
      <c r="C50" s="151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</row>
    <row r="51" spans="1:24" ht="15.75" customHeight="1" x14ac:dyDescent="0.2">
      <c r="A51" s="151"/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</row>
    <row r="52" spans="1:24" ht="15.75" customHeight="1" x14ac:dyDescent="0.2">
      <c r="A52" s="151"/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</row>
    <row r="53" spans="1:24" ht="15.75" customHeight="1" x14ac:dyDescent="0.2">
      <c r="A53" s="151"/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</row>
    <row r="54" spans="1:24" ht="15.75" customHeight="1" x14ac:dyDescent="0.2">
      <c r="A54" s="151"/>
      <c r="B54" s="151"/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</row>
    <row r="55" spans="1:24" ht="15.75" customHeight="1" x14ac:dyDescent="0.2">
      <c r="A55" s="151"/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</row>
    <row r="56" spans="1:24" ht="15.75" customHeight="1" x14ac:dyDescent="0.2">
      <c r="A56" s="151"/>
      <c r="B56" s="151"/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</row>
    <row r="57" spans="1:24" ht="15.75" customHeight="1" x14ac:dyDescent="0.2">
      <c r="A57" s="151"/>
      <c r="B57" s="151"/>
      <c r="C57" s="151"/>
      <c r="D57" s="151"/>
      <c r="E57" s="151"/>
      <c r="F57" s="151"/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</row>
    <row r="58" spans="1:24" ht="15.75" customHeight="1" x14ac:dyDescent="0.2">
      <c r="A58" s="151"/>
      <c r="B58" s="151"/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</row>
    <row r="59" spans="1:24" ht="15.75" customHeight="1" x14ac:dyDescent="0.2">
      <c r="A59" s="151"/>
      <c r="B59" s="151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</row>
    <row r="60" spans="1:24" ht="15.75" customHeight="1" x14ac:dyDescent="0.2">
      <c r="A60" s="151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</row>
    <row r="61" spans="1:24" ht="15.75" customHeight="1" x14ac:dyDescent="0.2">
      <c r="A61" s="151"/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</row>
    <row r="62" spans="1:24" ht="15.75" customHeight="1" x14ac:dyDescent="0.2">
      <c r="A62" s="151"/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</row>
    <row r="63" spans="1:24" ht="15.75" customHeight="1" x14ac:dyDescent="0.2">
      <c r="A63" s="151"/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</row>
    <row r="64" spans="1:24" ht="15.75" customHeight="1" x14ac:dyDescent="0.2">
      <c r="A64" s="151"/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</row>
    <row r="65" spans="1:24" ht="15.75" customHeight="1" x14ac:dyDescent="0.2">
      <c r="A65" s="151"/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</row>
    <row r="66" spans="1:24" ht="15.75" customHeight="1" x14ac:dyDescent="0.2">
      <c r="A66" s="151"/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</row>
    <row r="67" spans="1:24" ht="15.75" customHeight="1" x14ac:dyDescent="0.2">
      <c r="A67" s="151"/>
      <c r="B67" s="151"/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</row>
    <row r="68" spans="1:24" ht="15.75" customHeight="1" x14ac:dyDescent="0.2">
      <c r="A68" s="151"/>
      <c r="B68" s="151"/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</row>
    <row r="69" spans="1:24" ht="15.75" customHeight="1" x14ac:dyDescent="0.2">
      <c r="A69" s="151"/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</row>
    <row r="70" spans="1:24" ht="15.75" customHeight="1" x14ac:dyDescent="0.2">
      <c r="A70" s="151"/>
      <c r="B70" s="151"/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</row>
    <row r="71" spans="1:24" ht="15.75" customHeight="1" x14ac:dyDescent="0.2">
      <c r="A71" s="151"/>
      <c r="B71" s="151"/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</row>
    <row r="72" spans="1:24" ht="15.75" customHeight="1" x14ac:dyDescent="0.2">
      <c r="A72" s="151"/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</row>
    <row r="73" spans="1:24" ht="15.75" customHeight="1" x14ac:dyDescent="0.2">
      <c r="A73" s="151"/>
      <c r="B73" s="151"/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</row>
    <row r="74" spans="1:24" ht="15.75" customHeight="1" x14ac:dyDescent="0.2">
      <c r="A74" s="151"/>
      <c r="B74" s="151"/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</row>
    <row r="75" spans="1:24" ht="15.75" customHeight="1" x14ac:dyDescent="0.2">
      <c r="A75" s="151"/>
      <c r="B75" s="151"/>
      <c r="C75" s="151"/>
      <c r="D75" s="151"/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</row>
    <row r="76" spans="1:24" ht="15.75" customHeight="1" x14ac:dyDescent="0.2">
      <c r="A76" s="151"/>
      <c r="B76" s="151"/>
      <c r="C76" s="151"/>
      <c r="D76" s="151"/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</row>
    <row r="77" spans="1:24" ht="15.75" customHeight="1" x14ac:dyDescent="0.2">
      <c r="A77" s="151"/>
      <c r="B77" s="151"/>
      <c r="C77" s="151"/>
      <c r="D77" s="151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</row>
    <row r="78" spans="1:24" ht="15.75" customHeight="1" x14ac:dyDescent="0.2">
      <c r="A78" s="151"/>
      <c r="B78" s="151"/>
      <c r="C78" s="151"/>
      <c r="D78" s="151"/>
      <c r="E78" s="151"/>
      <c r="F78" s="151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</row>
    <row r="79" spans="1:24" ht="15.75" customHeight="1" x14ac:dyDescent="0.2">
      <c r="A79" s="151"/>
      <c r="B79" s="151"/>
      <c r="C79" s="151"/>
      <c r="D79" s="151"/>
      <c r="E79" s="151"/>
      <c r="F79" s="151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</row>
    <row r="80" spans="1:24" ht="15.75" customHeight="1" x14ac:dyDescent="0.2">
      <c r="A80" s="151"/>
      <c r="B80" s="151"/>
      <c r="C80" s="151"/>
      <c r="D80" s="151"/>
      <c r="E80" s="151"/>
      <c r="F80" s="15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</row>
    <row r="81" spans="1:24" ht="15.75" customHeight="1" x14ac:dyDescent="0.2">
      <c r="A81" s="151"/>
      <c r="B81" s="151"/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</row>
    <row r="82" spans="1:24" ht="15.75" customHeight="1" x14ac:dyDescent="0.2">
      <c r="A82" s="151"/>
      <c r="B82" s="151"/>
      <c r="C82" s="151"/>
      <c r="D82" s="151"/>
      <c r="E82" s="151"/>
      <c r="F82" s="15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</row>
    <row r="83" spans="1:24" ht="15.75" customHeight="1" x14ac:dyDescent="0.2">
      <c r="A83" s="151"/>
      <c r="B83" s="151"/>
      <c r="C83" s="151"/>
      <c r="D83" s="151"/>
      <c r="E83" s="151"/>
      <c r="F83" s="15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</row>
    <row r="84" spans="1:24" ht="15.75" customHeight="1" x14ac:dyDescent="0.2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</row>
    <row r="85" spans="1:24" ht="15.75" customHeight="1" x14ac:dyDescent="0.2">
      <c r="A85" s="151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</row>
    <row r="86" spans="1:24" ht="15.75" customHeight="1" x14ac:dyDescent="0.2">
      <c r="A86" s="151"/>
      <c r="B86" s="151"/>
      <c r="C86" s="151"/>
      <c r="D86" s="151"/>
      <c r="E86" s="151"/>
      <c r="F86" s="15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</row>
    <row r="87" spans="1:24" ht="15.75" customHeight="1" x14ac:dyDescent="0.2">
      <c r="A87" s="151"/>
      <c r="B87" s="151"/>
      <c r="C87" s="151"/>
      <c r="D87" s="151"/>
      <c r="E87" s="151"/>
      <c r="F87" s="15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</row>
    <row r="88" spans="1:24" ht="15.75" customHeight="1" x14ac:dyDescent="0.2">
      <c r="A88" s="151"/>
      <c r="B88" s="151"/>
      <c r="C88" s="151"/>
      <c r="D88" s="151"/>
      <c r="E88" s="151"/>
      <c r="F88" s="15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</row>
    <row r="89" spans="1:24" ht="15.75" customHeight="1" x14ac:dyDescent="0.2">
      <c r="A89" s="151"/>
      <c r="B89" s="151"/>
      <c r="C89" s="151"/>
      <c r="D89" s="151"/>
      <c r="E89" s="151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</row>
    <row r="90" spans="1:24" ht="15.75" customHeight="1" x14ac:dyDescent="0.2">
      <c r="A90" s="151"/>
      <c r="B90" s="151"/>
      <c r="C90" s="151"/>
      <c r="D90" s="151"/>
      <c r="E90" s="151"/>
      <c r="F90" s="15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</row>
    <row r="91" spans="1:24" ht="15.75" customHeight="1" x14ac:dyDescent="0.2">
      <c r="A91" s="151"/>
      <c r="B91" s="151"/>
      <c r="C91" s="151"/>
      <c r="D91" s="151"/>
      <c r="E91" s="151"/>
      <c r="F91" s="15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</row>
    <row r="92" spans="1:24" ht="15.75" customHeight="1" x14ac:dyDescent="0.2">
      <c r="A92" s="151"/>
      <c r="B92" s="151"/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</row>
    <row r="93" spans="1:24" ht="15.75" customHeight="1" x14ac:dyDescent="0.2">
      <c r="A93" s="151"/>
      <c r="B93" s="151"/>
      <c r="C93" s="151"/>
      <c r="D93" s="151"/>
      <c r="E93" s="151"/>
      <c r="F93" s="15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</row>
    <row r="94" spans="1:24" ht="15.75" customHeight="1" x14ac:dyDescent="0.2">
      <c r="A94" s="151"/>
      <c r="B94" s="151"/>
      <c r="C94" s="151"/>
      <c r="D94" s="151"/>
      <c r="E94" s="151"/>
      <c r="F94" s="15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</row>
    <row r="95" spans="1:24" ht="15.75" customHeight="1" x14ac:dyDescent="0.2">
      <c r="A95" s="151"/>
      <c r="B95" s="151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</row>
    <row r="96" spans="1:24" ht="15.75" customHeight="1" x14ac:dyDescent="0.2">
      <c r="A96" s="151"/>
      <c r="B96" s="151"/>
      <c r="C96" s="151"/>
      <c r="D96" s="151"/>
      <c r="E96" s="151"/>
      <c r="F96" s="15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</row>
    <row r="97" spans="1:24" ht="15.75" customHeight="1" x14ac:dyDescent="0.2">
      <c r="A97" s="151"/>
      <c r="B97" s="151"/>
      <c r="C97" s="151"/>
      <c r="D97" s="151"/>
      <c r="E97" s="151"/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</row>
    <row r="98" spans="1:24" ht="15.75" customHeight="1" x14ac:dyDescent="0.2">
      <c r="A98" s="151"/>
      <c r="B98" s="151"/>
      <c r="C98" s="151"/>
      <c r="D98" s="151"/>
      <c r="E98" s="151"/>
      <c r="F98" s="15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</row>
    <row r="99" spans="1:24" ht="15.75" customHeight="1" x14ac:dyDescent="0.2">
      <c r="A99" s="151"/>
      <c r="B99" s="151"/>
      <c r="C99" s="151"/>
      <c r="D99" s="151"/>
      <c r="E99" s="151"/>
      <c r="F99" s="15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</row>
    <row r="100" spans="1:24" ht="15.75" customHeight="1" x14ac:dyDescent="0.2">
      <c r="A100" s="151"/>
      <c r="B100" s="151"/>
      <c r="C100" s="151"/>
      <c r="D100" s="151"/>
      <c r="E100" s="151"/>
      <c r="F100" s="15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</row>
    <row r="101" spans="1:24" ht="15.75" customHeight="1" x14ac:dyDescent="0.2">
      <c r="A101" s="15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</row>
    <row r="102" spans="1:24" ht="15.75" customHeight="1" x14ac:dyDescent="0.2">
      <c r="A102" s="151"/>
      <c r="B102" s="151"/>
      <c r="C102" s="151"/>
      <c r="D102" s="151"/>
      <c r="E102" s="151"/>
      <c r="F102" s="15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</row>
    <row r="103" spans="1:24" ht="15.75" customHeight="1" x14ac:dyDescent="0.2">
      <c r="A103" s="151"/>
      <c r="B103" s="151"/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</row>
    <row r="104" spans="1:24" ht="15.75" customHeight="1" x14ac:dyDescent="0.2">
      <c r="A104" s="151"/>
      <c r="B104" s="151"/>
      <c r="C104" s="151"/>
      <c r="D104" s="151"/>
      <c r="E104" s="151"/>
      <c r="F104" s="15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</row>
    <row r="105" spans="1:24" ht="15.75" customHeight="1" x14ac:dyDescent="0.2">
      <c r="A105" s="151"/>
      <c r="B105" s="151"/>
      <c r="C105" s="151"/>
      <c r="D105" s="151"/>
      <c r="E105" s="151"/>
      <c r="F105" s="15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</row>
    <row r="106" spans="1:24" ht="15.75" customHeight="1" x14ac:dyDescent="0.2">
      <c r="A106" s="151"/>
      <c r="B106" s="151"/>
      <c r="C106" s="151"/>
      <c r="D106" s="151"/>
      <c r="E106" s="151"/>
      <c r="F106" s="15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</row>
    <row r="107" spans="1:24" ht="15.75" customHeight="1" x14ac:dyDescent="0.2">
      <c r="A107" s="151"/>
      <c r="B107" s="151"/>
      <c r="C107" s="151"/>
      <c r="D107" s="151"/>
      <c r="E107" s="151"/>
      <c r="F107" s="15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</row>
    <row r="108" spans="1:24" ht="15.75" customHeight="1" x14ac:dyDescent="0.2">
      <c r="A108" s="151"/>
      <c r="B108" s="151"/>
      <c r="C108" s="151"/>
      <c r="D108" s="151"/>
      <c r="E108" s="151"/>
      <c r="F108" s="15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</row>
    <row r="109" spans="1:24" ht="15.75" customHeight="1" x14ac:dyDescent="0.2">
      <c r="A109" s="151"/>
      <c r="B109" s="151"/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</row>
    <row r="110" spans="1:24" ht="15.75" customHeight="1" x14ac:dyDescent="0.2">
      <c r="A110" s="151"/>
      <c r="B110" s="151"/>
      <c r="C110" s="151"/>
      <c r="D110" s="151"/>
      <c r="E110" s="151"/>
      <c r="F110" s="15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</row>
    <row r="111" spans="1:24" ht="15.75" customHeight="1" x14ac:dyDescent="0.2">
      <c r="A111" s="151"/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</row>
    <row r="112" spans="1:24" ht="15.75" customHeight="1" x14ac:dyDescent="0.2">
      <c r="A112" s="151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</row>
    <row r="113" spans="1:24" ht="15.75" customHeight="1" x14ac:dyDescent="0.2">
      <c r="A113" s="151"/>
      <c r="B113" s="151"/>
      <c r="C113" s="151"/>
      <c r="D113" s="151"/>
      <c r="E113" s="151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</row>
    <row r="114" spans="1:24" ht="15.75" customHeight="1" x14ac:dyDescent="0.2">
      <c r="A114" s="151"/>
      <c r="B114" s="151"/>
      <c r="C114" s="151"/>
      <c r="D114" s="151"/>
      <c r="E114" s="151"/>
      <c r="F114" s="15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</row>
    <row r="115" spans="1:24" ht="15.75" customHeight="1" x14ac:dyDescent="0.2">
      <c r="A115" s="151"/>
      <c r="B115" s="151"/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</row>
    <row r="116" spans="1:24" ht="15.75" customHeight="1" x14ac:dyDescent="0.2">
      <c r="A116" s="151"/>
      <c r="B116" s="151"/>
      <c r="C116" s="151"/>
      <c r="D116" s="151"/>
      <c r="E116" s="151"/>
      <c r="F116" s="15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</row>
    <row r="117" spans="1:24" ht="15.75" customHeight="1" x14ac:dyDescent="0.2">
      <c r="A117" s="151"/>
      <c r="B117" s="151"/>
      <c r="C117" s="151"/>
      <c r="D117" s="151"/>
      <c r="E117" s="151"/>
      <c r="F117" s="15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</row>
    <row r="118" spans="1:24" ht="15.75" customHeight="1" x14ac:dyDescent="0.2">
      <c r="A118" s="151"/>
      <c r="B118" s="151"/>
      <c r="C118" s="151"/>
      <c r="D118" s="151"/>
      <c r="E118" s="151"/>
      <c r="F118" s="15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</row>
    <row r="119" spans="1:24" ht="15.75" customHeight="1" x14ac:dyDescent="0.2">
      <c r="A119" s="151"/>
      <c r="B119" s="151"/>
      <c r="C119" s="151"/>
      <c r="D119" s="151"/>
      <c r="E119" s="151"/>
      <c r="F119" s="15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</row>
    <row r="120" spans="1:24" ht="15.75" customHeight="1" x14ac:dyDescent="0.2">
      <c r="A120" s="151"/>
      <c r="B120" s="151"/>
      <c r="C120" s="151"/>
      <c r="D120" s="151"/>
      <c r="E120" s="151"/>
      <c r="F120" s="15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</row>
    <row r="121" spans="1:24" ht="15.75" customHeight="1" x14ac:dyDescent="0.2">
      <c r="A121" s="151"/>
      <c r="B121" s="151"/>
      <c r="C121" s="151"/>
      <c r="D121" s="151"/>
      <c r="E121" s="151"/>
      <c r="F121" s="15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</row>
    <row r="122" spans="1:24" ht="15.75" customHeight="1" x14ac:dyDescent="0.2">
      <c r="A122" s="151"/>
      <c r="B122" s="151"/>
      <c r="C122" s="151"/>
      <c r="D122" s="151"/>
      <c r="E122" s="151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</row>
    <row r="123" spans="1:24" ht="15.75" customHeight="1" x14ac:dyDescent="0.2">
      <c r="A123" s="151"/>
      <c r="B123" s="151"/>
      <c r="C123" s="151"/>
      <c r="D123" s="151"/>
      <c r="E123" s="151"/>
      <c r="F123" s="15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</row>
    <row r="124" spans="1:24" ht="15.75" customHeight="1" x14ac:dyDescent="0.2">
      <c r="A124" s="151"/>
      <c r="B124" s="151"/>
      <c r="C124" s="151"/>
      <c r="D124" s="151"/>
      <c r="E124" s="151"/>
      <c r="F124" s="15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</row>
    <row r="125" spans="1:24" ht="15.75" customHeight="1" x14ac:dyDescent="0.2">
      <c r="A125" s="151"/>
      <c r="B125" s="151"/>
      <c r="C125" s="151"/>
      <c r="D125" s="151"/>
      <c r="E125" s="151"/>
      <c r="F125" s="15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</row>
    <row r="126" spans="1:24" ht="15.75" customHeight="1" x14ac:dyDescent="0.2">
      <c r="A126" s="151"/>
      <c r="B126" s="151"/>
      <c r="C126" s="151"/>
      <c r="D126" s="151"/>
      <c r="E126" s="151"/>
      <c r="F126" s="15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</row>
    <row r="127" spans="1:24" ht="15.75" customHeight="1" x14ac:dyDescent="0.2">
      <c r="A127" s="151"/>
      <c r="B127" s="151"/>
      <c r="C127" s="151"/>
      <c r="D127" s="151"/>
      <c r="E127" s="151"/>
      <c r="F127" s="15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</row>
    <row r="128" spans="1:24" ht="15.75" customHeight="1" x14ac:dyDescent="0.2">
      <c r="A128" s="151"/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</row>
    <row r="129" spans="1:24" ht="15.75" customHeight="1" x14ac:dyDescent="0.2">
      <c r="A129" s="151"/>
      <c r="B129" s="151"/>
      <c r="C129" s="151"/>
      <c r="D129" s="151"/>
      <c r="E129" s="151"/>
      <c r="F129" s="15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</row>
    <row r="130" spans="1:24" ht="15.75" customHeight="1" x14ac:dyDescent="0.2">
      <c r="A130" s="151"/>
      <c r="B130" s="151"/>
      <c r="C130" s="151"/>
      <c r="D130" s="151"/>
      <c r="E130" s="151"/>
      <c r="F130" s="15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</row>
    <row r="131" spans="1:24" ht="15.75" customHeight="1" x14ac:dyDescent="0.2">
      <c r="A131" s="151"/>
      <c r="B131" s="151"/>
      <c r="C131" s="151"/>
      <c r="D131" s="151"/>
      <c r="E131" s="151"/>
      <c r="F131" s="15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</row>
    <row r="132" spans="1:24" ht="15.75" customHeight="1" x14ac:dyDescent="0.2">
      <c r="A132" s="151"/>
      <c r="B132" s="151"/>
      <c r="C132" s="151"/>
      <c r="D132" s="151"/>
      <c r="E132" s="151"/>
      <c r="F132" s="15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</row>
    <row r="133" spans="1:24" ht="15.75" customHeight="1" x14ac:dyDescent="0.2">
      <c r="A133" s="151"/>
      <c r="B133" s="151"/>
      <c r="C133" s="151"/>
      <c r="D133" s="151"/>
      <c r="E133" s="151"/>
      <c r="F133" s="15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</row>
    <row r="134" spans="1:24" ht="15.75" customHeight="1" x14ac:dyDescent="0.2">
      <c r="A134" s="151"/>
      <c r="B134" s="151"/>
      <c r="C134" s="151"/>
      <c r="D134" s="151"/>
      <c r="E134" s="151"/>
      <c r="F134" s="15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</row>
    <row r="135" spans="1:24" ht="15.75" customHeight="1" x14ac:dyDescent="0.2">
      <c r="A135" s="151"/>
      <c r="B135" s="151"/>
      <c r="C135" s="151"/>
      <c r="D135" s="151"/>
      <c r="E135" s="151"/>
      <c r="F135" s="15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</row>
    <row r="136" spans="1:24" ht="15.75" customHeight="1" x14ac:dyDescent="0.2">
      <c r="A136" s="151"/>
      <c r="B136" s="151"/>
      <c r="C136" s="151"/>
      <c r="D136" s="151"/>
      <c r="E136" s="151"/>
      <c r="F136" s="15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</row>
    <row r="137" spans="1:24" ht="15.75" customHeight="1" x14ac:dyDescent="0.2">
      <c r="A137" s="151"/>
      <c r="B137" s="151"/>
      <c r="C137" s="151"/>
      <c r="D137" s="151"/>
      <c r="E137" s="151"/>
      <c r="F137" s="15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</row>
    <row r="138" spans="1:24" ht="15.75" customHeight="1" x14ac:dyDescent="0.2">
      <c r="A138" s="151"/>
      <c r="B138" s="151"/>
      <c r="C138" s="151"/>
      <c r="D138" s="151"/>
      <c r="E138" s="151"/>
      <c r="F138" s="15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</row>
    <row r="139" spans="1:24" ht="15.75" customHeight="1" x14ac:dyDescent="0.2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</row>
    <row r="140" spans="1:24" ht="15.75" customHeight="1" x14ac:dyDescent="0.2">
      <c r="A140" s="151"/>
      <c r="B140" s="151"/>
      <c r="C140" s="151"/>
      <c r="D140" s="151"/>
      <c r="E140" s="151"/>
      <c r="F140" s="15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</row>
    <row r="141" spans="1:24" ht="15.75" customHeight="1" x14ac:dyDescent="0.2">
      <c r="A141" s="151"/>
      <c r="B141" s="151"/>
      <c r="C141" s="151"/>
      <c r="D141" s="151"/>
      <c r="E141" s="151"/>
      <c r="F141" s="15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</row>
    <row r="142" spans="1:24" ht="15.75" customHeight="1" x14ac:dyDescent="0.2">
      <c r="A142" s="151"/>
      <c r="B142" s="151"/>
      <c r="C142" s="151"/>
      <c r="D142" s="151"/>
      <c r="E142" s="151"/>
      <c r="F142" s="15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</row>
    <row r="143" spans="1:24" ht="15.75" customHeight="1" x14ac:dyDescent="0.2">
      <c r="A143" s="151"/>
      <c r="B143" s="151"/>
      <c r="C143" s="151"/>
      <c r="D143" s="151"/>
      <c r="E143" s="151"/>
      <c r="F143" s="15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</row>
    <row r="144" spans="1:24" ht="15.75" customHeight="1" x14ac:dyDescent="0.2">
      <c r="A144" s="151"/>
      <c r="B144" s="151"/>
      <c r="C144" s="151"/>
      <c r="D144" s="151"/>
      <c r="E144" s="151"/>
      <c r="F144" s="15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</row>
    <row r="145" spans="1:24" ht="15.75" customHeight="1" x14ac:dyDescent="0.2">
      <c r="A145" s="151"/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</row>
    <row r="146" spans="1:24" ht="15.75" customHeight="1" x14ac:dyDescent="0.2">
      <c r="A146" s="151"/>
      <c r="B146" s="151"/>
      <c r="C146" s="151"/>
      <c r="D146" s="151"/>
      <c r="E146" s="151"/>
      <c r="F146" s="15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</row>
    <row r="147" spans="1:24" ht="15.75" customHeight="1" x14ac:dyDescent="0.2">
      <c r="A147" s="151"/>
      <c r="B147" s="151"/>
      <c r="C147" s="151"/>
      <c r="D147" s="151"/>
      <c r="E147" s="151"/>
      <c r="F147" s="15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</row>
    <row r="148" spans="1:24" ht="15.75" customHeight="1" x14ac:dyDescent="0.2">
      <c r="A148" s="151"/>
      <c r="B148" s="151"/>
      <c r="C148" s="151"/>
      <c r="D148" s="151"/>
      <c r="E148" s="151"/>
      <c r="F148" s="15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</row>
    <row r="149" spans="1:24" ht="15.75" customHeight="1" x14ac:dyDescent="0.2">
      <c r="A149" s="151"/>
      <c r="B149" s="151"/>
      <c r="C149" s="151"/>
      <c r="D149" s="151"/>
      <c r="E149" s="151"/>
      <c r="F149" s="15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</row>
    <row r="150" spans="1:24" ht="15.75" customHeight="1" x14ac:dyDescent="0.2">
      <c r="A150" s="151"/>
      <c r="B150" s="151"/>
      <c r="C150" s="151"/>
      <c r="D150" s="151"/>
      <c r="E150" s="151"/>
      <c r="F150" s="15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</row>
    <row r="151" spans="1:24" ht="15.75" customHeight="1" x14ac:dyDescent="0.2">
      <c r="A151" s="151"/>
      <c r="B151" s="151"/>
      <c r="C151" s="151"/>
      <c r="D151" s="151"/>
      <c r="E151" s="151"/>
      <c r="F151" s="15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</row>
    <row r="152" spans="1:24" ht="15.75" customHeight="1" x14ac:dyDescent="0.2">
      <c r="A152" s="151"/>
      <c r="B152" s="151"/>
      <c r="C152" s="151"/>
      <c r="D152" s="151"/>
      <c r="E152" s="151"/>
      <c r="F152" s="15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</row>
    <row r="153" spans="1:24" ht="15.75" customHeight="1" x14ac:dyDescent="0.2">
      <c r="A153" s="151"/>
      <c r="B153" s="151"/>
      <c r="C153" s="151"/>
      <c r="D153" s="151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</row>
    <row r="154" spans="1:24" ht="15.75" customHeight="1" x14ac:dyDescent="0.2">
      <c r="A154" s="151"/>
      <c r="B154" s="151"/>
      <c r="C154" s="151"/>
      <c r="D154" s="151"/>
      <c r="E154" s="151"/>
      <c r="F154" s="15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</row>
    <row r="155" spans="1:24" ht="15.75" customHeight="1" x14ac:dyDescent="0.2">
      <c r="A155" s="151"/>
      <c r="B155" s="151"/>
      <c r="C155" s="151"/>
      <c r="D155" s="151"/>
      <c r="E155" s="151"/>
      <c r="F155" s="15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</row>
    <row r="156" spans="1:24" ht="15.75" customHeight="1" x14ac:dyDescent="0.2">
      <c r="A156" s="151"/>
      <c r="B156" s="151"/>
      <c r="C156" s="151"/>
      <c r="D156" s="151"/>
      <c r="E156" s="151"/>
      <c r="F156" s="15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</row>
    <row r="157" spans="1:24" ht="15.75" customHeight="1" x14ac:dyDescent="0.2">
      <c r="A157" s="151"/>
      <c r="B157" s="151"/>
      <c r="C157" s="151"/>
      <c r="D157" s="151"/>
      <c r="E157" s="151"/>
      <c r="F157" s="15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</row>
    <row r="158" spans="1:24" ht="15.75" customHeight="1" x14ac:dyDescent="0.2">
      <c r="A158" s="151"/>
      <c r="B158" s="151"/>
      <c r="C158" s="151"/>
      <c r="D158" s="151"/>
      <c r="E158" s="151"/>
      <c r="F158" s="15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</row>
    <row r="159" spans="1:24" ht="15.75" customHeight="1" x14ac:dyDescent="0.2">
      <c r="A159" s="151"/>
      <c r="B159" s="151"/>
      <c r="C159" s="151"/>
      <c r="D159" s="151"/>
      <c r="E159" s="151"/>
      <c r="F159" s="15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</row>
    <row r="160" spans="1:24" ht="15.75" customHeight="1" x14ac:dyDescent="0.2">
      <c r="A160" s="151"/>
      <c r="B160" s="151"/>
      <c r="C160" s="151"/>
      <c r="D160" s="151"/>
      <c r="E160" s="151"/>
      <c r="F160" s="15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</row>
    <row r="161" spans="1:24" ht="15.75" customHeight="1" x14ac:dyDescent="0.2">
      <c r="A161" s="151"/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</row>
    <row r="162" spans="1:24" ht="15.75" customHeight="1" x14ac:dyDescent="0.2">
      <c r="A162" s="151"/>
      <c r="B162" s="151"/>
      <c r="C162" s="151"/>
      <c r="D162" s="151"/>
      <c r="E162" s="151"/>
      <c r="F162" s="15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</row>
    <row r="163" spans="1:24" ht="15.75" customHeight="1" x14ac:dyDescent="0.2">
      <c r="A163" s="151"/>
      <c r="B163" s="151"/>
      <c r="C163" s="151"/>
      <c r="D163" s="151"/>
      <c r="E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</row>
    <row r="164" spans="1:24" ht="15.75" customHeight="1" x14ac:dyDescent="0.2">
      <c r="A164" s="151"/>
      <c r="B164" s="151"/>
      <c r="C164" s="151"/>
      <c r="D164" s="151"/>
      <c r="E164" s="151"/>
      <c r="F164" s="15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</row>
    <row r="165" spans="1:24" ht="15.75" customHeight="1" x14ac:dyDescent="0.2">
      <c r="A165" s="151"/>
      <c r="B165" s="151"/>
      <c r="C165" s="151"/>
      <c r="D165" s="151"/>
      <c r="E165" s="151"/>
      <c r="F165" s="15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</row>
    <row r="166" spans="1:24" ht="15.75" customHeight="1" x14ac:dyDescent="0.2">
      <c r="A166" s="15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</row>
    <row r="167" spans="1:24" ht="15.75" customHeight="1" x14ac:dyDescent="0.2">
      <c r="A167" s="151"/>
      <c r="B167" s="151"/>
      <c r="C167" s="151"/>
      <c r="D167" s="151"/>
      <c r="E167" s="151"/>
      <c r="F167" s="15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</row>
    <row r="168" spans="1:24" ht="15.75" customHeight="1" x14ac:dyDescent="0.2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</row>
    <row r="169" spans="1:24" ht="15.75" customHeight="1" x14ac:dyDescent="0.2">
      <c r="A169" s="151"/>
      <c r="B169" s="151"/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</row>
    <row r="170" spans="1:24" ht="15.75" customHeight="1" x14ac:dyDescent="0.2">
      <c r="A170" s="151"/>
      <c r="B170" s="151"/>
      <c r="C170" s="151"/>
      <c r="D170" s="151"/>
      <c r="E170" s="151"/>
      <c r="F170" s="15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</row>
    <row r="171" spans="1:24" ht="15.75" customHeight="1" x14ac:dyDescent="0.2">
      <c r="A171" s="151"/>
      <c r="B171" s="151"/>
      <c r="C171" s="151"/>
      <c r="D171" s="151"/>
      <c r="E171" s="151"/>
      <c r="F171" s="15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</row>
    <row r="172" spans="1:24" ht="15.75" customHeight="1" x14ac:dyDescent="0.2">
      <c r="A172" s="151"/>
      <c r="B172" s="151"/>
      <c r="C172" s="151"/>
      <c r="D172" s="151"/>
      <c r="E172" s="151"/>
      <c r="F172" s="15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</row>
    <row r="173" spans="1:24" ht="15.75" customHeight="1" x14ac:dyDescent="0.2">
      <c r="A173" s="151"/>
      <c r="B173" s="151"/>
      <c r="C173" s="151"/>
      <c r="D173" s="151"/>
      <c r="E173" s="151"/>
      <c r="F173" s="15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</row>
    <row r="174" spans="1:24" ht="15.75" customHeight="1" x14ac:dyDescent="0.2">
      <c r="A174" s="151"/>
      <c r="B174" s="151"/>
      <c r="C174" s="151"/>
      <c r="D174" s="151"/>
      <c r="E174" s="151"/>
      <c r="F174" s="15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</row>
    <row r="175" spans="1:24" ht="15.75" customHeight="1" x14ac:dyDescent="0.2">
      <c r="A175" s="151"/>
      <c r="B175" s="151"/>
      <c r="C175" s="151"/>
      <c r="D175" s="151"/>
      <c r="E175" s="151"/>
      <c r="F175" s="15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</row>
    <row r="176" spans="1:24" ht="15.75" customHeight="1" x14ac:dyDescent="0.2">
      <c r="A176" s="151"/>
      <c r="B176" s="151"/>
      <c r="C176" s="151"/>
      <c r="D176" s="151"/>
      <c r="E176" s="151"/>
      <c r="F176" s="15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</row>
    <row r="177" spans="1:24" ht="15.75" customHeight="1" x14ac:dyDescent="0.2">
      <c r="A177" s="151"/>
      <c r="B177" s="151"/>
      <c r="C177" s="151"/>
      <c r="D177" s="151"/>
      <c r="E177" s="151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</row>
    <row r="178" spans="1:24" ht="15.75" customHeight="1" x14ac:dyDescent="0.2">
      <c r="A178" s="151"/>
      <c r="B178" s="151"/>
      <c r="C178" s="151"/>
      <c r="D178" s="151"/>
      <c r="E178" s="151"/>
      <c r="F178" s="15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</row>
    <row r="179" spans="1:24" ht="15.75" customHeight="1" x14ac:dyDescent="0.2">
      <c r="A179" s="151"/>
      <c r="B179" s="151"/>
      <c r="C179" s="151"/>
      <c r="D179" s="151"/>
      <c r="E179" s="151"/>
      <c r="F179" s="15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</row>
    <row r="180" spans="1:24" ht="15.75" customHeight="1" x14ac:dyDescent="0.2">
      <c r="A180" s="151"/>
      <c r="B180" s="151"/>
      <c r="C180" s="151"/>
      <c r="D180" s="151"/>
      <c r="E180" s="151"/>
      <c r="F180" s="15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</row>
    <row r="181" spans="1:24" ht="15.75" customHeight="1" x14ac:dyDescent="0.2">
      <c r="A181" s="151"/>
      <c r="B181" s="151"/>
      <c r="C181" s="151"/>
      <c r="D181" s="151"/>
      <c r="E181" s="151"/>
      <c r="F181" s="15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</row>
    <row r="182" spans="1:24" ht="15.75" customHeight="1" x14ac:dyDescent="0.2">
      <c r="A182" s="151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</row>
    <row r="183" spans="1:24" ht="15.75" customHeight="1" x14ac:dyDescent="0.2">
      <c r="A183" s="151"/>
      <c r="B183" s="151"/>
      <c r="C183" s="151"/>
      <c r="D183" s="151"/>
      <c r="E183" s="151"/>
      <c r="F183" s="15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</row>
    <row r="184" spans="1:24" ht="15.75" customHeight="1" x14ac:dyDescent="0.2">
      <c r="A184" s="151"/>
      <c r="B184" s="151"/>
      <c r="C184" s="151"/>
      <c r="D184" s="151"/>
      <c r="E184" s="151"/>
      <c r="F184" s="15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</row>
    <row r="185" spans="1:24" ht="15.75" customHeight="1" x14ac:dyDescent="0.2">
      <c r="A185" s="151"/>
      <c r="B185" s="151"/>
      <c r="C185" s="151"/>
      <c r="D185" s="151"/>
      <c r="E185" s="151"/>
      <c r="F185" s="15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</row>
    <row r="186" spans="1:24" ht="15.75" customHeight="1" x14ac:dyDescent="0.2">
      <c r="A186" s="151"/>
      <c r="B186" s="151"/>
      <c r="C186" s="151"/>
      <c r="D186" s="151"/>
      <c r="E186" s="151"/>
      <c r="F186" s="15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</row>
    <row r="187" spans="1:24" ht="15.75" customHeight="1" x14ac:dyDescent="0.2">
      <c r="A187" s="151"/>
      <c r="B187" s="151"/>
      <c r="C187" s="151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</row>
    <row r="188" spans="1:24" ht="15.75" customHeight="1" x14ac:dyDescent="0.2">
      <c r="A188" s="151"/>
      <c r="B188" s="151"/>
      <c r="C188" s="151"/>
      <c r="D188" s="151"/>
      <c r="E188" s="151"/>
      <c r="F188" s="15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</row>
    <row r="189" spans="1:24" ht="15.75" customHeight="1" x14ac:dyDescent="0.2">
      <c r="A189" s="151"/>
      <c r="B189" s="151"/>
      <c r="C189" s="151"/>
      <c r="D189" s="151"/>
      <c r="E189" s="151"/>
      <c r="F189" s="15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</row>
    <row r="190" spans="1:24" ht="15.75" customHeight="1" x14ac:dyDescent="0.2">
      <c r="A190" s="151"/>
      <c r="B190" s="151"/>
      <c r="C190" s="151"/>
      <c r="D190" s="151"/>
      <c r="E190" s="151"/>
      <c r="F190" s="15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</row>
    <row r="191" spans="1:24" ht="15.75" customHeight="1" x14ac:dyDescent="0.2">
      <c r="A191" s="151"/>
      <c r="B191" s="151"/>
      <c r="C191" s="151"/>
      <c r="D191" s="151"/>
      <c r="E191" s="151"/>
      <c r="F191" s="15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</row>
    <row r="192" spans="1:24" ht="15.75" customHeight="1" x14ac:dyDescent="0.2">
      <c r="A192" s="151"/>
      <c r="B192" s="151"/>
      <c r="C192" s="151"/>
      <c r="D192" s="151"/>
      <c r="E192" s="151"/>
      <c r="F192" s="15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</row>
    <row r="193" spans="1:24" ht="15.75" customHeight="1" x14ac:dyDescent="0.2">
      <c r="A193" s="151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</row>
    <row r="194" spans="1:24" ht="15.75" customHeight="1" x14ac:dyDescent="0.2">
      <c r="A194" s="151"/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</row>
    <row r="195" spans="1:24" ht="15.75" customHeight="1" x14ac:dyDescent="0.2">
      <c r="A195" s="151"/>
      <c r="B195" s="151"/>
      <c r="C195" s="151"/>
      <c r="D195" s="151"/>
      <c r="E195" s="151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</row>
    <row r="196" spans="1:24" ht="15.75" customHeight="1" x14ac:dyDescent="0.2">
      <c r="A196" s="151"/>
      <c r="B196" s="151"/>
      <c r="C196" s="151"/>
      <c r="D196" s="151"/>
      <c r="E196" s="151"/>
      <c r="F196" s="15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</row>
    <row r="197" spans="1:24" ht="15.75" customHeight="1" x14ac:dyDescent="0.2">
      <c r="A197" s="151"/>
      <c r="B197" s="151"/>
      <c r="C197" s="151"/>
      <c r="D197" s="151"/>
      <c r="E197" s="151"/>
      <c r="F197" s="15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</row>
    <row r="198" spans="1:24" ht="15.75" customHeight="1" x14ac:dyDescent="0.2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</row>
    <row r="199" spans="1:24" ht="15.75" customHeight="1" x14ac:dyDescent="0.2">
      <c r="A199" s="151"/>
      <c r="B199" s="151"/>
      <c r="C199" s="151"/>
      <c r="D199" s="151"/>
      <c r="E199" s="151"/>
      <c r="F199" s="15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</row>
    <row r="200" spans="1:24" ht="15.75" customHeight="1" x14ac:dyDescent="0.2">
      <c r="A200" s="151"/>
      <c r="B200" s="151"/>
      <c r="C200" s="151"/>
      <c r="D200" s="151"/>
      <c r="E200" s="151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</row>
    <row r="201" spans="1:24" ht="15.75" customHeight="1" x14ac:dyDescent="0.2">
      <c r="A201" s="151"/>
      <c r="B201" s="151"/>
      <c r="C201" s="151"/>
      <c r="D201" s="151"/>
      <c r="E201" s="151"/>
      <c r="F201" s="15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</row>
    <row r="202" spans="1:24" ht="15.75" customHeight="1" x14ac:dyDescent="0.2">
      <c r="A202" s="151"/>
      <c r="B202" s="151"/>
      <c r="C202" s="151"/>
      <c r="D202" s="151"/>
      <c r="E202" s="151"/>
      <c r="F202" s="15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</row>
    <row r="203" spans="1:24" ht="15.75" customHeight="1" x14ac:dyDescent="0.2">
      <c r="A203" s="151"/>
      <c r="B203" s="151"/>
      <c r="C203" s="151"/>
      <c r="D203" s="151"/>
      <c r="E203" s="151"/>
      <c r="F203" s="15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</row>
    <row r="204" spans="1:24" ht="15.75" customHeight="1" x14ac:dyDescent="0.2">
      <c r="A204" s="151"/>
      <c r="B204" s="151"/>
      <c r="C204" s="151"/>
      <c r="D204" s="151"/>
      <c r="E204" s="151"/>
      <c r="F204" s="15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</row>
    <row r="205" spans="1:24" ht="15.75" customHeight="1" x14ac:dyDescent="0.2">
      <c r="A205" s="151"/>
      <c r="B205" s="151"/>
      <c r="C205" s="151"/>
      <c r="D205" s="151"/>
      <c r="E205" s="151"/>
      <c r="F205" s="15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</row>
    <row r="206" spans="1:24" ht="15.75" customHeight="1" x14ac:dyDescent="0.2">
      <c r="A206" s="151"/>
      <c r="B206" s="151"/>
      <c r="C206" s="151"/>
      <c r="D206" s="151"/>
      <c r="E206" s="151"/>
      <c r="F206" s="15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</row>
    <row r="207" spans="1:24" ht="15.75" customHeight="1" x14ac:dyDescent="0.2">
      <c r="A207" s="151"/>
      <c r="B207" s="151"/>
      <c r="C207" s="151"/>
      <c r="D207" s="151"/>
      <c r="E207" s="151"/>
      <c r="F207" s="15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</row>
    <row r="208" spans="1:24" ht="15.75" customHeight="1" x14ac:dyDescent="0.2">
      <c r="A208" s="151"/>
      <c r="B208" s="151"/>
      <c r="C208" s="151"/>
      <c r="D208" s="151"/>
      <c r="E208" s="151"/>
      <c r="F208" s="15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</row>
    <row r="209" spans="1:24" ht="15.75" customHeight="1" x14ac:dyDescent="0.2">
      <c r="A209" s="151"/>
      <c r="B209" s="151"/>
      <c r="C209" s="151"/>
      <c r="D209" s="151"/>
      <c r="E209" s="151"/>
      <c r="F209" s="15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</row>
    <row r="210" spans="1:24" ht="15.75" customHeight="1" x14ac:dyDescent="0.2">
      <c r="A210" s="151"/>
      <c r="B210" s="151"/>
      <c r="C210" s="151"/>
      <c r="D210" s="151"/>
      <c r="E210" s="151"/>
      <c r="F210" s="15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</row>
    <row r="211" spans="1:24" ht="15.75" customHeight="1" x14ac:dyDescent="0.2">
      <c r="A211" s="151"/>
      <c r="B211" s="151"/>
      <c r="C211" s="151"/>
      <c r="D211" s="151"/>
      <c r="E211" s="151"/>
      <c r="F211" s="15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</row>
    <row r="212" spans="1:24" ht="15.75" customHeight="1" x14ac:dyDescent="0.2">
      <c r="A212" s="151"/>
      <c r="B212" s="151"/>
      <c r="C212" s="151"/>
      <c r="D212" s="151"/>
      <c r="E212" s="151"/>
      <c r="F212" s="15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</row>
    <row r="213" spans="1:24" ht="15.75" customHeight="1" x14ac:dyDescent="0.2">
      <c r="A213" s="151"/>
      <c r="B213" s="151"/>
      <c r="C213" s="151"/>
      <c r="D213" s="151"/>
      <c r="E213" s="151"/>
      <c r="F213" s="15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</row>
    <row r="214" spans="1:24" ht="15.75" customHeight="1" x14ac:dyDescent="0.2">
      <c r="A214" s="151"/>
      <c r="B214" s="151"/>
      <c r="C214" s="151"/>
      <c r="D214" s="151"/>
      <c r="E214" s="151"/>
      <c r="F214" s="15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</row>
    <row r="215" spans="1:24" ht="15.75" customHeight="1" x14ac:dyDescent="0.2">
      <c r="A215" s="151"/>
      <c r="B215" s="151"/>
      <c r="C215" s="151"/>
      <c r="D215" s="151"/>
      <c r="E215" s="151"/>
      <c r="F215" s="15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</row>
    <row r="216" spans="1:24" ht="15.75" customHeight="1" x14ac:dyDescent="0.2">
      <c r="A216" s="151"/>
      <c r="B216" s="151"/>
      <c r="C216" s="151"/>
      <c r="D216" s="151"/>
      <c r="E216" s="151"/>
      <c r="F216" s="15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</row>
    <row r="217" spans="1:24" ht="15.75" customHeight="1" x14ac:dyDescent="0.2">
      <c r="A217" s="151"/>
      <c r="B217" s="151"/>
      <c r="C217" s="151"/>
      <c r="D217" s="151"/>
      <c r="E217" s="151"/>
      <c r="F217" s="15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</row>
    <row r="218" spans="1:24" ht="15.75" customHeight="1" x14ac:dyDescent="0.2">
      <c r="A218" s="151"/>
      <c r="B218" s="151"/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</row>
    <row r="219" spans="1:24" ht="15.75" customHeight="1" x14ac:dyDescent="0.2">
      <c r="A219" s="151"/>
      <c r="B219" s="151"/>
      <c r="C219" s="151"/>
      <c r="D219" s="151"/>
      <c r="E219" s="151"/>
      <c r="F219" s="15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</row>
    <row r="220" spans="1:24" ht="15.75" customHeight="1" x14ac:dyDescent="0.2">
      <c r="A220" s="151"/>
      <c r="B220" s="151"/>
      <c r="C220" s="151"/>
      <c r="D220" s="151"/>
      <c r="E220" s="151"/>
      <c r="F220" s="15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</row>
    <row r="221" spans="1:24" ht="15.75" customHeight="1" x14ac:dyDescent="0.2">
      <c r="A221" s="151"/>
      <c r="B221" s="151"/>
      <c r="C221" s="151"/>
      <c r="D221" s="151"/>
      <c r="E221" s="151"/>
      <c r="F221" s="15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</row>
    <row r="222" spans="1:24" ht="15.75" customHeight="1" x14ac:dyDescent="0.2">
      <c r="A222" s="151"/>
      <c r="B222" s="151"/>
      <c r="C222" s="151"/>
      <c r="D222" s="151"/>
      <c r="E222" s="151"/>
      <c r="F222" s="15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</row>
    <row r="223" spans="1:24" ht="15.75" customHeight="1" x14ac:dyDescent="0.2">
      <c r="A223" s="151"/>
      <c r="B223" s="151"/>
      <c r="C223" s="151"/>
      <c r="D223" s="151"/>
      <c r="E223" s="151"/>
      <c r="F223" s="15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</row>
    <row r="224" spans="1:24" ht="15.75" customHeight="1" x14ac:dyDescent="0.2">
      <c r="A224" s="151"/>
      <c r="B224" s="151"/>
      <c r="C224" s="151"/>
      <c r="D224" s="151"/>
      <c r="E224" s="151"/>
      <c r="F224" s="15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</row>
    <row r="225" spans="1:24" ht="15.75" customHeight="1" x14ac:dyDescent="0.2">
      <c r="A225" s="151"/>
      <c r="B225" s="151"/>
      <c r="C225" s="151"/>
      <c r="D225" s="151"/>
      <c r="E225" s="151"/>
      <c r="F225" s="15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</row>
    <row r="226" spans="1:24" ht="15.75" customHeight="1" x14ac:dyDescent="0.2">
      <c r="A226" s="151"/>
      <c r="B226" s="151"/>
      <c r="C226" s="151"/>
      <c r="D226" s="151"/>
      <c r="E226" s="151"/>
      <c r="F226" s="15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</row>
    <row r="227" spans="1:24" ht="15.75" customHeight="1" x14ac:dyDescent="0.2">
      <c r="A227" s="151"/>
      <c r="B227" s="151"/>
      <c r="C227" s="151"/>
      <c r="D227" s="151"/>
      <c r="E227" s="151"/>
      <c r="F227" s="15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</row>
    <row r="228" spans="1:24" ht="15.75" customHeight="1" x14ac:dyDescent="0.2">
      <c r="A228" s="151"/>
      <c r="B228" s="151"/>
      <c r="C228" s="151"/>
      <c r="D228" s="151"/>
      <c r="E228" s="151"/>
      <c r="F228" s="15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</row>
    <row r="229" spans="1:24" ht="15.75" customHeight="1" x14ac:dyDescent="0.2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</row>
    <row r="230" spans="1:24" ht="15.75" customHeight="1" x14ac:dyDescent="0.2">
      <c r="A230" s="151"/>
      <c r="B230" s="151"/>
      <c r="C230" s="151"/>
      <c r="D230" s="151"/>
      <c r="E230" s="151"/>
      <c r="F230" s="15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</row>
    <row r="231" spans="1:24" ht="15.75" customHeight="1" x14ac:dyDescent="0.2">
      <c r="A231" s="151"/>
      <c r="B231" s="151"/>
      <c r="C231" s="151"/>
      <c r="D231" s="151"/>
      <c r="E231" s="151"/>
      <c r="F231" s="15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</row>
    <row r="232" spans="1:24" ht="15.75" customHeight="1" x14ac:dyDescent="0.2">
      <c r="A232" s="151"/>
      <c r="B232" s="151"/>
      <c r="C232" s="151"/>
      <c r="D232" s="151"/>
      <c r="E232" s="151"/>
      <c r="F232" s="15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</row>
    <row r="233" spans="1:24" ht="15.75" customHeight="1" x14ac:dyDescent="0.2">
      <c r="A233" s="151"/>
      <c r="B233" s="151"/>
      <c r="C233" s="151"/>
      <c r="D233" s="151"/>
      <c r="E233" s="151"/>
      <c r="F233" s="15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</row>
    <row r="234" spans="1:24" ht="15.75" customHeight="1" x14ac:dyDescent="0.2">
      <c r="A234" s="151"/>
      <c r="B234" s="151"/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</row>
    <row r="235" spans="1:24" ht="15.75" customHeight="1" x14ac:dyDescent="0.2">
      <c r="A235" s="151"/>
      <c r="B235" s="151"/>
      <c r="C235" s="151"/>
      <c r="D235" s="151"/>
      <c r="E235" s="151"/>
      <c r="F235" s="15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</row>
    <row r="236" spans="1:24" ht="15.75" customHeight="1" x14ac:dyDescent="0.2">
      <c r="A236" s="151"/>
      <c r="B236" s="151"/>
      <c r="C236" s="151"/>
      <c r="D236" s="151"/>
      <c r="E236" s="151"/>
      <c r="F236" s="15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</row>
    <row r="237" spans="1:24" ht="15.75" customHeight="1" x14ac:dyDescent="0.2">
      <c r="A237" s="151"/>
      <c r="B237" s="151"/>
      <c r="C237" s="151"/>
      <c r="D237" s="151"/>
      <c r="E237" s="151"/>
      <c r="F237" s="15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</row>
    <row r="238" spans="1:24" ht="15.75" customHeight="1" x14ac:dyDescent="0.2">
      <c r="A238" s="151"/>
      <c r="B238" s="151"/>
      <c r="C238" s="151"/>
      <c r="D238" s="151"/>
      <c r="E238" s="151"/>
      <c r="F238" s="15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</row>
    <row r="239" spans="1:24" ht="15.75" customHeight="1" x14ac:dyDescent="0.2">
      <c r="A239" s="151"/>
      <c r="B239" s="151"/>
      <c r="C239" s="151"/>
      <c r="D239" s="151"/>
      <c r="E239" s="151"/>
      <c r="F239" s="15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</row>
    <row r="240" spans="1:24" ht="15.75" customHeight="1" x14ac:dyDescent="0.2">
      <c r="A240" s="151"/>
      <c r="B240" s="151"/>
      <c r="C240" s="151"/>
      <c r="D240" s="151"/>
      <c r="E240" s="151"/>
      <c r="F240" s="15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</row>
    <row r="241" spans="1:24" ht="15.75" customHeight="1" x14ac:dyDescent="0.2">
      <c r="A241" s="151"/>
      <c r="B241" s="151"/>
      <c r="C241" s="151"/>
      <c r="D241" s="151"/>
      <c r="E241" s="151"/>
      <c r="F241" s="15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</row>
    <row r="242" spans="1:24" ht="15.75" customHeight="1" x14ac:dyDescent="0.2">
      <c r="A242" s="151"/>
      <c r="B242" s="151"/>
      <c r="C242" s="151"/>
      <c r="D242" s="151"/>
      <c r="E242" s="151"/>
      <c r="F242" s="15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</row>
    <row r="243" spans="1:24" ht="15.75" customHeight="1" x14ac:dyDescent="0.2">
      <c r="A243" s="151"/>
      <c r="B243" s="151"/>
      <c r="C243" s="151"/>
      <c r="D243" s="151"/>
      <c r="E243" s="151"/>
      <c r="F243" s="15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</row>
    <row r="244" spans="1:24" ht="15.75" customHeight="1" x14ac:dyDescent="0.2">
      <c r="A244" s="151"/>
      <c r="B244" s="151"/>
      <c r="C244" s="151"/>
      <c r="D244" s="151"/>
      <c r="E244" s="151"/>
      <c r="F244" s="15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</row>
    <row r="245" spans="1:24" ht="15.75" customHeight="1" x14ac:dyDescent="0.2">
      <c r="A245" s="151"/>
      <c r="B245" s="151"/>
      <c r="C245" s="151"/>
      <c r="D245" s="151"/>
      <c r="E245" s="151"/>
      <c r="F245" s="15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</row>
    <row r="246" spans="1:24" ht="15.75" customHeight="1" x14ac:dyDescent="0.2">
      <c r="A246" s="151"/>
      <c r="B246" s="151"/>
      <c r="C246" s="151"/>
      <c r="D246" s="151"/>
      <c r="E246" s="151"/>
      <c r="F246" s="15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</row>
    <row r="247" spans="1:24" ht="15.75" customHeight="1" x14ac:dyDescent="0.2">
      <c r="A247" s="151"/>
      <c r="B247" s="151"/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</row>
    <row r="248" spans="1:24" ht="15.75" customHeight="1" x14ac:dyDescent="0.2">
      <c r="A248" s="151"/>
      <c r="B248" s="151"/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</row>
    <row r="249" spans="1:24" ht="15.75" customHeight="1" x14ac:dyDescent="0.2">
      <c r="A249" s="151"/>
      <c r="B249" s="151"/>
      <c r="C249" s="151"/>
      <c r="D249" s="151"/>
      <c r="E249" s="151"/>
      <c r="F249" s="15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</row>
    <row r="250" spans="1:24" ht="15.75" customHeight="1" x14ac:dyDescent="0.2">
      <c r="A250" s="151"/>
      <c r="B250" s="151"/>
      <c r="C250" s="151"/>
      <c r="D250" s="151"/>
      <c r="E250" s="151"/>
      <c r="F250" s="15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</row>
    <row r="251" spans="1:24" ht="15.75" customHeight="1" x14ac:dyDescent="0.2">
      <c r="A251" s="151"/>
      <c r="B251" s="151"/>
      <c r="C251" s="151"/>
      <c r="D251" s="151"/>
      <c r="E251" s="151"/>
      <c r="F251" s="15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</row>
    <row r="252" spans="1:24" ht="15.75" customHeight="1" x14ac:dyDescent="0.2">
      <c r="A252" s="151"/>
      <c r="B252" s="151"/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</row>
    <row r="253" spans="1:24" ht="15.75" customHeight="1" x14ac:dyDescent="0.2">
      <c r="A253" s="151"/>
      <c r="B253" s="151"/>
      <c r="C253" s="151"/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</row>
    <row r="254" spans="1:24" ht="15.75" customHeight="1" x14ac:dyDescent="0.2">
      <c r="A254" s="151"/>
      <c r="B254" s="151"/>
      <c r="C254" s="151"/>
      <c r="D254" s="151"/>
      <c r="E254" s="151"/>
      <c r="F254" s="15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</row>
    <row r="255" spans="1:24" ht="15.75" customHeight="1" x14ac:dyDescent="0.2">
      <c r="A255" s="151"/>
      <c r="B255" s="151"/>
      <c r="C255" s="151"/>
      <c r="D255" s="151"/>
      <c r="E255" s="151"/>
      <c r="F255" s="15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</row>
    <row r="256" spans="1:24" ht="15.75" customHeight="1" x14ac:dyDescent="0.2">
      <c r="A256" s="151"/>
      <c r="B256" s="151"/>
      <c r="C256" s="151"/>
      <c r="D256" s="151"/>
      <c r="E256" s="151"/>
      <c r="F256" s="15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</row>
    <row r="257" spans="1:24" ht="15.75" customHeight="1" x14ac:dyDescent="0.2">
      <c r="A257" s="151"/>
      <c r="B257" s="151"/>
      <c r="C257" s="151"/>
      <c r="D257" s="151"/>
      <c r="E257" s="151"/>
      <c r="F257" s="15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</row>
    <row r="258" spans="1:24" ht="15.75" customHeight="1" x14ac:dyDescent="0.2">
      <c r="A258" s="151"/>
      <c r="B258" s="151"/>
      <c r="C258" s="151"/>
      <c r="D258" s="151"/>
      <c r="E258" s="151"/>
      <c r="F258" s="15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</row>
    <row r="259" spans="1:24" ht="15.75" customHeight="1" x14ac:dyDescent="0.2">
      <c r="A259" s="151"/>
      <c r="B259" s="151"/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</row>
    <row r="260" spans="1:24" ht="15.75" customHeight="1" x14ac:dyDescent="0.2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</row>
    <row r="261" spans="1:24" ht="15.75" customHeight="1" x14ac:dyDescent="0.2">
      <c r="A261" s="151"/>
      <c r="B261" s="151"/>
      <c r="C261" s="151"/>
      <c r="D261" s="151"/>
      <c r="E261" s="151"/>
      <c r="F261" s="15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</row>
    <row r="262" spans="1:24" ht="15.75" customHeight="1" x14ac:dyDescent="0.2">
      <c r="A262" s="151"/>
      <c r="B262" s="151"/>
      <c r="C262" s="151"/>
      <c r="D262" s="151"/>
      <c r="E262" s="151"/>
      <c r="F262" s="15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</row>
    <row r="263" spans="1:24" ht="15.75" customHeight="1" x14ac:dyDescent="0.2">
      <c r="A263" s="151"/>
      <c r="B263" s="151"/>
      <c r="C263" s="151"/>
      <c r="D263" s="151"/>
      <c r="E263" s="151"/>
      <c r="F263" s="15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</row>
    <row r="264" spans="1:24" ht="15.75" customHeight="1" x14ac:dyDescent="0.2">
      <c r="A264" s="151"/>
      <c r="B264" s="151"/>
      <c r="C264" s="151"/>
      <c r="D264" s="151"/>
      <c r="E264" s="151"/>
      <c r="F264" s="15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</row>
    <row r="265" spans="1:24" ht="15.75" customHeight="1" x14ac:dyDescent="0.2">
      <c r="A265" s="151"/>
      <c r="B265" s="151"/>
      <c r="C265" s="151"/>
      <c r="D265" s="151"/>
      <c r="E265" s="151"/>
      <c r="F265" s="15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</row>
    <row r="266" spans="1:24" ht="15.75" customHeight="1" x14ac:dyDescent="0.2">
      <c r="A266" s="151"/>
      <c r="B266" s="151"/>
      <c r="C266" s="151"/>
      <c r="D266" s="151"/>
      <c r="E266" s="151"/>
      <c r="F266" s="15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</row>
    <row r="267" spans="1:24" ht="15.75" customHeight="1" x14ac:dyDescent="0.2">
      <c r="A267" s="151"/>
      <c r="B267" s="151"/>
      <c r="C267" s="151"/>
      <c r="D267" s="151"/>
      <c r="E267" s="151"/>
      <c r="F267" s="15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</row>
    <row r="268" spans="1:24" ht="15.75" customHeight="1" x14ac:dyDescent="0.2">
      <c r="A268" s="151"/>
      <c r="B268" s="151"/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</row>
    <row r="269" spans="1:24" ht="15.75" customHeight="1" x14ac:dyDescent="0.2">
      <c r="A269" s="151"/>
      <c r="B269" s="151"/>
      <c r="C269" s="151"/>
      <c r="D269" s="151"/>
      <c r="E269" s="151"/>
      <c r="F269" s="15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</row>
    <row r="270" spans="1:24" ht="15.75" customHeight="1" x14ac:dyDescent="0.2">
      <c r="A270" s="151"/>
      <c r="B270" s="151"/>
      <c r="C270" s="151"/>
      <c r="D270" s="151"/>
      <c r="E270" s="151"/>
      <c r="F270" s="15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</row>
    <row r="271" spans="1:24" ht="15.75" customHeight="1" x14ac:dyDescent="0.2">
      <c r="A271" s="151"/>
      <c r="B271" s="151"/>
      <c r="C271" s="151"/>
      <c r="D271" s="151"/>
      <c r="E271" s="151"/>
      <c r="F271" s="15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</row>
    <row r="272" spans="1:24" ht="15.75" customHeight="1" x14ac:dyDescent="0.2">
      <c r="A272" s="151"/>
      <c r="B272" s="151"/>
      <c r="C272" s="151"/>
      <c r="D272" s="151"/>
      <c r="E272" s="151"/>
      <c r="F272" s="15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</row>
    <row r="273" spans="1:24" ht="15.75" customHeight="1" x14ac:dyDescent="0.2">
      <c r="A273" s="151"/>
      <c r="B273" s="151"/>
      <c r="C273" s="151"/>
      <c r="D273" s="151"/>
      <c r="E273" s="151"/>
      <c r="F273" s="15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</row>
    <row r="274" spans="1:24" ht="15.75" customHeight="1" x14ac:dyDescent="0.2">
      <c r="A274" s="151"/>
      <c r="B274" s="151"/>
      <c r="C274" s="151"/>
      <c r="D274" s="151"/>
      <c r="E274" s="151"/>
      <c r="F274" s="15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</row>
    <row r="275" spans="1:24" ht="15.75" customHeight="1" x14ac:dyDescent="0.2">
      <c r="A275" s="151"/>
      <c r="B275" s="151"/>
      <c r="C275" s="151"/>
      <c r="D275" s="151"/>
      <c r="E275" s="151"/>
      <c r="F275" s="15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</row>
    <row r="276" spans="1:24" ht="15.75" customHeight="1" x14ac:dyDescent="0.2">
      <c r="A276" s="151"/>
      <c r="B276" s="151"/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</row>
    <row r="277" spans="1:24" ht="15.75" customHeight="1" x14ac:dyDescent="0.2">
      <c r="A277" s="151"/>
      <c r="B277" s="151"/>
      <c r="C277" s="151"/>
      <c r="D277" s="151"/>
      <c r="E277" s="151"/>
      <c r="F277" s="15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</row>
    <row r="278" spans="1:24" ht="15.75" customHeight="1" x14ac:dyDescent="0.2">
      <c r="A278" s="151"/>
      <c r="B278" s="151"/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</row>
    <row r="279" spans="1:24" ht="15.75" customHeight="1" x14ac:dyDescent="0.2">
      <c r="A279" s="151"/>
      <c r="B279" s="151"/>
      <c r="C279" s="151"/>
      <c r="D279" s="151"/>
      <c r="E279" s="151"/>
      <c r="F279" s="15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</row>
    <row r="280" spans="1:24" ht="15.75" customHeight="1" x14ac:dyDescent="0.2">
      <c r="A280" s="151"/>
      <c r="B280" s="151"/>
      <c r="C280" s="151"/>
      <c r="D280" s="151"/>
      <c r="E280" s="151"/>
      <c r="F280" s="15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</row>
    <row r="281" spans="1:24" ht="15.75" customHeight="1" x14ac:dyDescent="0.2">
      <c r="A281" s="151"/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</row>
    <row r="282" spans="1:24" ht="15.75" customHeight="1" x14ac:dyDescent="0.2">
      <c r="A282" s="151"/>
      <c r="B282" s="151"/>
      <c r="C282" s="151"/>
      <c r="D282" s="151"/>
      <c r="E282" s="151"/>
      <c r="F282" s="15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</row>
    <row r="283" spans="1:24" ht="15.75" customHeight="1" x14ac:dyDescent="0.2">
      <c r="A283" s="151"/>
      <c r="B283" s="151"/>
      <c r="C283" s="151"/>
      <c r="D283" s="151"/>
      <c r="E283" s="151"/>
      <c r="F283" s="15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</row>
    <row r="284" spans="1:24" ht="15.75" customHeight="1" x14ac:dyDescent="0.2">
      <c r="A284" s="151"/>
      <c r="B284" s="151"/>
      <c r="C284" s="151"/>
      <c r="D284" s="151"/>
      <c r="E284" s="151"/>
      <c r="F284" s="15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</row>
    <row r="285" spans="1:24" ht="15.75" customHeight="1" x14ac:dyDescent="0.2">
      <c r="A285" s="151"/>
      <c r="B285" s="151"/>
      <c r="C285" s="151"/>
      <c r="D285" s="151"/>
      <c r="E285" s="151"/>
      <c r="F285" s="15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</row>
    <row r="286" spans="1:24" ht="15.75" customHeight="1" x14ac:dyDescent="0.2">
      <c r="A286" s="151"/>
      <c r="B286" s="151"/>
      <c r="C286" s="151"/>
      <c r="D286" s="151"/>
      <c r="E286" s="151"/>
      <c r="F286" s="15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</row>
    <row r="287" spans="1:24" ht="15.75" customHeight="1" x14ac:dyDescent="0.2">
      <c r="A287" s="151"/>
      <c r="B287" s="151"/>
      <c r="C287" s="151"/>
      <c r="D287" s="151"/>
      <c r="E287" s="151"/>
      <c r="F287" s="15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</row>
    <row r="288" spans="1:24" ht="15.75" customHeight="1" x14ac:dyDescent="0.2">
      <c r="A288" s="151"/>
      <c r="B288" s="151"/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</row>
    <row r="289" spans="1:24" ht="15.75" customHeight="1" x14ac:dyDescent="0.2">
      <c r="A289" s="151"/>
      <c r="B289" s="151"/>
      <c r="C289" s="151"/>
      <c r="D289" s="151"/>
      <c r="E289" s="151"/>
      <c r="F289" s="15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</row>
    <row r="290" spans="1:24" ht="15.75" customHeight="1" x14ac:dyDescent="0.2">
      <c r="A290" s="151"/>
      <c r="B290" s="151"/>
      <c r="C290" s="151"/>
      <c r="D290" s="151"/>
      <c r="E290" s="151"/>
      <c r="F290" s="15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</row>
    <row r="291" spans="1:24" ht="15.75" customHeight="1" x14ac:dyDescent="0.2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</row>
    <row r="292" spans="1:24" ht="15.75" customHeight="1" x14ac:dyDescent="0.2">
      <c r="A292" s="151"/>
      <c r="B292" s="151"/>
      <c r="C292" s="151"/>
      <c r="D292" s="151"/>
      <c r="E292" s="151"/>
      <c r="F292" s="15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</row>
    <row r="293" spans="1:24" ht="15.75" customHeight="1" x14ac:dyDescent="0.2">
      <c r="A293" s="151"/>
      <c r="B293" s="151"/>
      <c r="C293" s="151"/>
      <c r="D293" s="151"/>
      <c r="E293" s="151"/>
      <c r="F293" s="15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</row>
    <row r="294" spans="1:24" ht="15.75" customHeight="1" x14ac:dyDescent="0.2">
      <c r="A294" s="151"/>
      <c r="B294" s="151"/>
      <c r="C294" s="151"/>
      <c r="D294" s="151"/>
      <c r="E294" s="151"/>
      <c r="F294" s="15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</row>
    <row r="295" spans="1:24" ht="15.75" customHeight="1" x14ac:dyDescent="0.2">
      <c r="A295" s="151"/>
      <c r="B295" s="151"/>
      <c r="C295" s="151"/>
      <c r="D295" s="151"/>
      <c r="E295" s="151"/>
      <c r="F295" s="15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</row>
    <row r="296" spans="1:24" ht="15.75" customHeight="1" x14ac:dyDescent="0.2">
      <c r="A296" s="151"/>
      <c r="B296" s="151"/>
      <c r="C296" s="151"/>
      <c r="D296" s="151"/>
      <c r="E296" s="151"/>
      <c r="F296" s="15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</row>
    <row r="297" spans="1:24" ht="15.75" customHeight="1" x14ac:dyDescent="0.2">
      <c r="A297" s="151"/>
      <c r="B297" s="151"/>
      <c r="C297" s="151"/>
      <c r="D297" s="151"/>
      <c r="E297" s="151"/>
      <c r="F297" s="15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</row>
    <row r="298" spans="1:24" ht="15.75" customHeight="1" x14ac:dyDescent="0.2">
      <c r="A298" s="151"/>
      <c r="B298" s="151"/>
      <c r="C298" s="151"/>
      <c r="D298" s="151"/>
      <c r="E298" s="151"/>
      <c r="F298" s="15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</row>
    <row r="299" spans="1:24" ht="15.75" customHeight="1" x14ac:dyDescent="0.2">
      <c r="A299" s="151"/>
      <c r="B299" s="151"/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</row>
    <row r="300" spans="1:24" ht="15.75" customHeight="1" x14ac:dyDescent="0.2">
      <c r="A300" s="151"/>
      <c r="B300" s="151"/>
      <c r="C300" s="151"/>
      <c r="D300" s="151"/>
      <c r="E300" s="151"/>
      <c r="F300" s="15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</row>
    <row r="301" spans="1:24" ht="15.75" customHeight="1" x14ac:dyDescent="0.2">
      <c r="A301" s="151"/>
      <c r="B301" s="151"/>
      <c r="C301" s="151"/>
      <c r="D301" s="151"/>
      <c r="E301" s="151"/>
      <c r="F301" s="15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</row>
    <row r="302" spans="1:24" ht="15.75" customHeight="1" x14ac:dyDescent="0.2">
      <c r="A302" s="151"/>
      <c r="B302" s="151"/>
      <c r="C302" s="151"/>
      <c r="D302" s="151"/>
      <c r="E302" s="151"/>
      <c r="F302" s="15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</row>
    <row r="303" spans="1:24" ht="15.75" customHeight="1" x14ac:dyDescent="0.2">
      <c r="A303" s="151"/>
      <c r="B303" s="151"/>
      <c r="C303" s="151"/>
      <c r="D303" s="151"/>
      <c r="E303" s="151"/>
      <c r="F303" s="15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</row>
    <row r="304" spans="1:24" ht="15.75" customHeight="1" x14ac:dyDescent="0.2">
      <c r="A304" s="151"/>
      <c r="B304" s="151"/>
      <c r="C304" s="151"/>
      <c r="D304" s="151"/>
      <c r="E304" s="151"/>
      <c r="F304" s="15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</row>
    <row r="305" spans="1:24" ht="15.75" customHeight="1" x14ac:dyDescent="0.2">
      <c r="A305" s="151"/>
      <c r="B305" s="151"/>
      <c r="C305" s="151"/>
      <c r="D305" s="151"/>
      <c r="E305" s="151"/>
      <c r="F305" s="15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</row>
    <row r="306" spans="1:24" ht="15.75" customHeight="1" x14ac:dyDescent="0.2">
      <c r="A306" s="151"/>
      <c r="B306" s="151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</row>
    <row r="307" spans="1:24" ht="15.75" customHeight="1" x14ac:dyDescent="0.2">
      <c r="A307" s="151"/>
      <c r="B307" s="151"/>
      <c r="C307" s="151"/>
      <c r="D307" s="151"/>
      <c r="E307" s="151"/>
      <c r="F307" s="15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</row>
    <row r="308" spans="1:24" ht="15.75" customHeight="1" x14ac:dyDescent="0.2">
      <c r="A308" s="151"/>
      <c r="B308" s="151"/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</row>
    <row r="309" spans="1:24" ht="15.75" customHeight="1" x14ac:dyDescent="0.2">
      <c r="A309" s="151"/>
      <c r="B309" s="151"/>
      <c r="C309" s="151"/>
      <c r="D309" s="151"/>
      <c r="E309" s="151"/>
      <c r="F309" s="15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</row>
    <row r="310" spans="1:24" ht="15.75" customHeight="1" x14ac:dyDescent="0.2">
      <c r="A310" s="151"/>
      <c r="B310" s="151"/>
      <c r="C310" s="151"/>
      <c r="D310" s="151"/>
      <c r="E310" s="151"/>
      <c r="F310" s="15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</row>
    <row r="311" spans="1:24" ht="15.75" customHeight="1" x14ac:dyDescent="0.2">
      <c r="A311" s="151"/>
      <c r="B311" s="151"/>
      <c r="C311" s="151"/>
      <c r="D311" s="151"/>
      <c r="E311" s="151"/>
      <c r="F311" s="15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</row>
    <row r="312" spans="1:24" ht="15.75" customHeight="1" x14ac:dyDescent="0.2">
      <c r="A312" s="151"/>
      <c r="B312" s="151"/>
      <c r="C312" s="151"/>
      <c r="D312" s="151"/>
      <c r="E312" s="151"/>
      <c r="F312" s="15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</row>
    <row r="313" spans="1:24" ht="15.75" customHeight="1" x14ac:dyDescent="0.2">
      <c r="A313" s="151"/>
      <c r="B313" s="151"/>
      <c r="C313" s="151"/>
      <c r="D313" s="151"/>
      <c r="E313" s="151"/>
      <c r="F313" s="15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</row>
    <row r="314" spans="1:24" ht="15.75" customHeight="1" x14ac:dyDescent="0.2">
      <c r="A314" s="151"/>
      <c r="B314" s="151"/>
      <c r="C314" s="151"/>
      <c r="D314" s="151"/>
      <c r="E314" s="151"/>
      <c r="F314" s="15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</row>
    <row r="315" spans="1:24" ht="15.75" customHeight="1" x14ac:dyDescent="0.2">
      <c r="A315" s="151"/>
      <c r="B315" s="151"/>
      <c r="C315" s="151"/>
      <c r="D315" s="151"/>
      <c r="E315" s="151"/>
      <c r="F315" s="15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</row>
    <row r="316" spans="1:24" ht="15.75" customHeight="1" x14ac:dyDescent="0.2">
      <c r="A316" s="151"/>
      <c r="B316" s="151"/>
      <c r="C316" s="151"/>
      <c r="D316" s="151"/>
      <c r="E316" s="151"/>
      <c r="F316" s="15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</row>
    <row r="317" spans="1:24" ht="15.75" customHeight="1" x14ac:dyDescent="0.2">
      <c r="A317" s="151"/>
      <c r="B317" s="151"/>
      <c r="C317" s="151"/>
      <c r="D317" s="151"/>
      <c r="E317" s="151"/>
      <c r="F317" s="15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</row>
    <row r="318" spans="1:24" ht="15.75" customHeight="1" x14ac:dyDescent="0.2">
      <c r="A318" s="151"/>
      <c r="B318" s="151"/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</row>
    <row r="319" spans="1:24" ht="15.75" customHeight="1" x14ac:dyDescent="0.2">
      <c r="A319" s="151"/>
      <c r="B319" s="151"/>
      <c r="C319" s="151"/>
      <c r="D319" s="151"/>
      <c r="E319" s="151"/>
      <c r="F319" s="15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</row>
    <row r="320" spans="1:24" ht="15.75" customHeight="1" x14ac:dyDescent="0.2">
      <c r="A320" s="151"/>
      <c r="B320" s="151"/>
      <c r="C320" s="151"/>
      <c r="D320" s="151"/>
      <c r="E320" s="151"/>
      <c r="F320" s="15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</row>
    <row r="321" spans="1:24" ht="15.75" customHeight="1" x14ac:dyDescent="0.2">
      <c r="A321" s="151"/>
      <c r="B321" s="151"/>
      <c r="C321" s="151"/>
      <c r="D321" s="151"/>
      <c r="E321" s="151"/>
      <c r="F321" s="15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</row>
    <row r="322" spans="1:24" ht="15.75" customHeight="1" x14ac:dyDescent="0.2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</row>
    <row r="323" spans="1:24" ht="15.75" customHeight="1" x14ac:dyDescent="0.2">
      <c r="A323" s="151"/>
      <c r="B323" s="151"/>
      <c r="C323" s="151"/>
      <c r="D323" s="151"/>
      <c r="E323" s="151"/>
      <c r="F323" s="15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</row>
    <row r="324" spans="1:24" ht="15.75" customHeight="1" x14ac:dyDescent="0.2">
      <c r="A324" s="151"/>
      <c r="B324" s="151"/>
      <c r="C324" s="151"/>
      <c r="D324" s="151"/>
      <c r="E324" s="151"/>
      <c r="F324" s="15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</row>
    <row r="325" spans="1:24" ht="15.75" customHeight="1" x14ac:dyDescent="0.2">
      <c r="A325" s="151"/>
      <c r="B325" s="151"/>
      <c r="C325" s="151"/>
      <c r="D325" s="151"/>
      <c r="E325" s="151"/>
      <c r="F325" s="15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</row>
    <row r="326" spans="1:24" ht="15.75" customHeight="1" x14ac:dyDescent="0.2">
      <c r="A326" s="151"/>
      <c r="B326" s="151"/>
      <c r="C326" s="151"/>
      <c r="D326" s="151"/>
      <c r="E326" s="151"/>
      <c r="F326" s="15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</row>
    <row r="327" spans="1:24" ht="15.75" customHeight="1" x14ac:dyDescent="0.2">
      <c r="A327" s="151"/>
      <c r="B327" s="151"/>
      <c r="C327" s="151"/>
      <c r="D327" s="151"/>
      <c r="E327" s="151"/>
      <c r="F327" s="15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</row>
    <row r="328" spans="1:24" ht="15.75" customHeight="1" x14ac:dyDescent="0.2">
      <c r="A328" s="151"/>
      <c r="B328" s="151"/>
      <c r="C328" s="151"/>
      <c r="D328" s="151"/>
      <c r="E328" s="151"/>
      <c r="F328" s="15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</row>
    <row r="329" spans="1:24" ht="15.75" customHeight="1" x14ac:dyDescent="0.2">
      <c r="A329" s="151"/>
      <c r="B329" s="151"/>
      <c r="C329" s="151"/>
      <c r="D329" s="151"/>
      <c r="E329" s="151"/>
      <c r="F329" s="15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</row>
    <row r="330" spans="1:24" ht="15.75" customHeight="1" x14ac:dyDescent="0.2">
      <c r="A330" s="151"/>
      <c r="B330" s="151"/>
      <c r="C330" s="151"/>
      <c r="D330" s="151"/>
      <c r="E330" s="151"/>
      <c r="F330" s="15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</row>
    <row r="331" spans="1:24" ht="15.75" customHeight="1" x14ac:dyDescent="0.2">
      <c r="A331" s="151"/>
      <c r="B331" s="151"/>
      <c r="C331" s="151"/>
      <c r="D331" s="151"/>
      <c r="E331" s="151"/>
      <c r="F331" s="15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</row>
    <row r="332" spans="1:24" ht="15.75" customHeight="1" x14ac:dyDescent="0.2">
      <c r="A332" s="151"/>
      <c r="B332" s="151"/>
      <c r="C332" s="151"/>
      <c r="D332" s="151"/>
      <c r="E332" s="151"/>
      <c r="F332" s="15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</row>
    <row r="333" spans="1:24" ht="15.75" customHeight="1" x14ac:dyDescent="0.2">
      <c r="A333" s="151"/>
      <c r="B333" s="151"/>
      <c r="C333" s="151"/>
      <c r="D333" s="151"/>
      <c r="E333" s="151"/>
      <c r="F333" s="15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</row>
    <row r="334" spans="1:24" ht="15.75" customHeight="1" x14ac:dyDescent="0.2">
      <c r="A334" s="151"/>
      <c r="B334" s="151"/>
      <c r="C334" s="151"/>
      <c r="D334" s="151"/>
      <c r="E334" s="151"/>
      <c r="F334" s="15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</row>
    <row r="335" spans="1:24" ht="15.75" customHeight="1" x14ac:dyDescent="0.2">
      <c r="A335" s="151"/>
      <c r="B335" s="151"/>
      <c r="C335" s="151"/>
      <c r="D335" s="151"/>
      <c r="E335" s="151"/>
      <c r="F335" s="15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</row>
    <row r="336" spans="1:24" ht="15.75" customHeight="1" x14ac:dyDescent="0.2">
      <c r="A336" s="151"/>
      <c r="B336" s="151"/>
      <c r="C336" s="151"/>
      <c r="D336" s="151"/>
      <c r="E336" s="151"/>
      <c r="F336" s="15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</row>
    <row r="337" spans="1:24" ht="15.75" customHeight="1" x14ac:dyDescent="0.2">
      <c r="A337" s="151"/>
      <c r="B337" s="151"/>
      <c r="C337" s="151"/>
      <c r="D337" s="151"/>
      <c r="E337" s="151"/>
      <c r="F337" s="15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</row>
    <row r="338" spans="1:24" ht="15.75" customHeight="1" x14ac:dyDescent="0.2">
      <c r="A338" s="151"/>
      <c r="B338" s="151"/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</row>
    <row r="339" spans="1:24" ht="15.75" customHeight="1" x14ac:dyDescent="0.2">
      <c r="A339" s="151"/>
      <c r="B339" s="151"/>
      <c r="C339" s="151"/>
      <c r="D339" s="151"/>
      <c r="E339" s="151"/>
      <c r="F339" s="15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</row>
    <row r="340" spans="1:24" ht="15.75" customHeight="1" x14ac:dyDescent="0.2">
      <c r="A340" s="151"/>
      <c r="B340" s="151"/>
      <c r="C340" s="151"/>
      <c r="D340" s="151"/>
      <c r="E340" s="151"/>
      <c r="F340" s="15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</row>
    <row r="341" spans="1:24" ht="15.75" customHeight="1" x14ac:dyDescent="0.2">
      <c r="A341" s="151"/>
      <c r="B341" s="151"/>
      <c r="C341" s="151"/>
      <c r="D341" s="151"/>
      <c r="E341" s="151"/>
      <c r="F341" s="15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</row>
    <row r="342" spans="1:24" ht="15.75" customHeight="1" x14ac:dyDescent="0.2">
      <c r="A342" s="151"/>
      <c r="B342" s="151"/>
      <c r="C342" s="151"/>
      <c r="D342" s="151"/>
      <c r="E342" s="151"/>
      <c r="F342" s="15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</row>
    <row r="343" spans="1:24" ht="15.75" customHeight="1" x14ac:dyDescent="0.2">
      <c r="A343" s="151"/>
      <c r="B343" s="151"/>
      <c r="C343" s="151"/>
      <c r="D343" s="151"/>
      <c r="E343" s="151"/>
      <c r="F343" s="15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</row>
    <row r="344" spans="1:24" ht="15.75" customHeight="1" x14ac:dyDescent="0.2">
      <c r="A344" s="151"/>
      <c r="B344" s="151"/>
      <c r="C344" s="151"/>
      <c r="D344" s="151"/>
      <c r="E344" s="151"/>
      <c r="F344" s="15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</row>
    <row r="345" spans="1:24" ht="15.75" customHeight="1" x14ac:dyDescent="0.2">
      <c r="A345" s="151"/>
      <c r="B345" s="151"/>
      <c r="C345" s="151"/>
      <c r="D345" s="151"/>
      <c r="E345" s="151"/>
      <c r="F345" s="15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</row>
    <row r="346" spans="1:24" ht="15.75" customHeight="1" x14ac:dyDescent="0.2">
      <c r="A346" s="151"/>
      <c r="B346" s="151"/>
      <c r="C346" s="151"/>
      <c r="D346" s="151"/>
      <c r="E346" s="151"/>
      <c r="F346" s="15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</row>
    <row r="347" spans="1:24" ht="15.75" customHeight="1" x14ac:dyDescent="0.2">
      <c r="A347" s="151"/>
      <c r="B347" s="151"/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</row>
    <row r="348" spans="1:24" ht="15.75" customHeight="1" x14ac:dyDescent="0.2">
      <c r="A348" s="151"/>
      <c r="B348" s="151"/>
      <c r="C348" s="151"/>
      <c r="D348" s="151"/>
      <c r="E348" s="151"/>
      <c r="F348" s="15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</row>
    <row r="349" spans="1:24" ht="15.75" customHeight="1" x14ac:dyDescent="0.2">
      <c r="A349" s="151"/>
      <c r="B349" s="151"/>
      <c r="C349" s="151"/>
      <c r="D349" s="151"/>
      <c r="E349" s="151"/>
      <c r="F349" s="15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</row>
    <row r="350" spans="1:24" ht="15.75" customHeight="1" x14ac:dyDescent="0.2">
      <c r="A350" s="151"/>
      <c r="B350" s="151"/>
      <c r="C350" s="151"/>
      <c r="D350" s="151"/>
      <c r="E350" s="151"/>
      <c r="F350" s="15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</row>
    <row r="351" spans="1:24" ht="15.75" customHeight="1" x14ac:dyDescent="0.2">
      <c r="A351" s="151"/>
      <c r="B351" s="151"/>
      <c r="C351" s="151"/>
      <c r="D351" s="151"/>
      <c r="E351" s="151"/>
      <c r="F351" s="15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</row>
    <row r="352" spans="1:24" ht="15.75" customHeight="1" x14ac:dyDescent="0.2">
      <c r="A352" s="151"/>
      <c r="B352" s="151"/>
      <c r="C352" s="151"/>
      <c r="D352" s="151"/>
      <c r="E352" s="151"/>
      <c r="F352" s="15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</row>
    <row r="353" spans="1:24" ht="15.75" customHeight="1" x14ac:dyDescent="0.2">
      <c r="A353" s="151"/>
      <c r="B353" s="151"/>
      <c r="C353" s="151"/>
      <c r="D353" s="151"/>
      <c r="E353" s="151"/>
      <c r="F353" s="15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</row>
    <row r="354" spans="1:24" ht="15.75" customHeight="1" x14ac:dyDescent="0.2">
      <c r="A354" s="151"/>
      <c r="B354" s="151"/>
      <c r="C354" s="151"/>
      <c r="D354" s="151"/>
      <c r="E354" s="151"/>
      <c r="F354" s="15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</row>
    <row r="355" spans="1:24" ht="15.75" customHeight="1" x14ac:dyDescent="0.2">
      <c r="A355" s="151"/>
      <c r="B355" s="151"/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</row>
    <row r="356" spans="1:24" ht="15.75" customHeight="1" x14ac:dyDescent="0.2">
      <c r="A356" s="151"/>
      <c r="B356" s="151"/>
      <c r="C356" s="151"/>
      <c r="D356" s="151"/>
      <c r="E356" s="151"/>
      <c r="F356" s="15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</row>
    <row r="357" spans="1:24" ht="15.75" customHeight="1" x14ac:dyDescent="0.2">
      <c r="A357" s="151"/>
      <c r="B357" s="151"/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</row>
    <row r="358" spans="1:24" ht="15.75" customHeight="1" x14ac:dyDescent="0.2">
      <c r="A358" s="151"/>
      <c r="B358" s="151"/>
      <c r="C358" s="151"/>
      <c r="D358" s="151"/>
      <c r="E358" s="151"/>
      <c r="F358" s="15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</row>
    <row r="359" spans="1:24" ht="15.75" customHeight="1" x14ac:dyDescent="0.2">
      <c r="A359" s="151"/>
      <c r="B359" s="151"/>
      <c r="C359" s="151"/>
      <c r="D359" s="151"/>
      <c r="E359" s="151"/>
      <c r="F359" s="15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</row>
    <row r="360" spans="1:24" ht="15.75" customHeight="1" x14ac:dyDescent="0.2">
      <c r="A360" s="151"/>
      <c r="B360" s="151"/>
      <c r="C360" s="151"/>
      <c r="D360" s="151"/>
      <c r="E360" s="151"/>
      <c r="F360" s="15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</row>
    <row r="361" spans="1:24" ht="15.75" customHeight="1" x14ac:dyDescent="0.2">
      <c r="A361" s="151"/>
      <c r="B361" s="151"/>
      <c r="C361" s="151"/>
      <c r="D361" s="151"/>
      <c r="E361" s="151"/>
      <c r="F361" s="15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</row>
    <row r="362" spans="1:24" ht="15.75" customHeight="1" x14ac:dyDescent="0.2">
      <c r="A362" s="151"/>
      <c r="B362" s="151"/>
      <c r="C362" s="151"/>
      <c r="D362" s="151"/>
      <c r="E362" s="151"/>
      <c r="F362" s="15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</row>
    <row r="363" spans="1:24" ht="15.75" customHeight="1" x14ac:dyDescent="0.2">
      <c r="A363" s="151"/>
      <c r="B363" s="151"/>
      <c r="C363" s="151"/>
      <c r="D363" s="151"/>
      <c r="E363" s="151"/>
      <c r="F363" s="15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</row>
    <row r="364" spans="1:24" ht="15.75" customHeight="1" x14ac:dyDescent="0.2">
      <c r="A364" s="151"/>
      <c r="B364" s="151"/>
      <c r="C364" s="151"/>
      <c r="D364" s="151"/>
      <c r="E364" s="151"/>
      <c r="F364" s="15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</row>
    <row r="365" spans="1:24" ht="15.75" customHeight="1" x14ac:dyDescent="0.2">
      <c r="A365" s="151"/>
      <c r="B365" s="151"/>
      <c r="C365" s="151"/>
      <c r="D365" s="151"/>
      <c r="E365" s="151"/>
      <c r="F365" s="15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</row>
    <row r="366" spans="1:24" ht="15.75" customHeight="1" x14ac:dyDescent="0.2">
      <c r="A366" s="151"/>
      <c r="B366" s="151"/>
      <c r="C366" s="151"/>
      <c r="D366" s="151"/>
      <c r="E366" s="151"/>
      <c r="F366" s="15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</row>
    <row r="367" spans="1:24" ht="15.75" customHeight="1" x14ac:dyDescent="0.2">
      <c r="A367" s="151"/>
      <c r="B367" s="151"/>
      <c r="C367" s="151"/>
      <c r="D367" s="151"/>
      <c r="E367" s="151"/>
      <c r="F367" s="15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</row>
    <row r="368" spans="1:24" ht="15.75" customHeight="1" x14ac:dyDescent="0.2">
      <c r="A368" s="151"/>
      <c r="B368" s="151"/>
      <c r="C368" s="151"/>
      <c r="D368" s="151"/>
      <c r="E368" s="151"/>
      <c r="F368" s="15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</row>
    <row r="369" spans="1:24" ht="15.75" customHeight="1" x14ac:dyDescent="0.2">
      <c r="A369" s="151"/>
      <c r="B369" s="151"/>
      <c r="C369" s="151"/>
      <c r="D369" s="151"/>
      <c r="E369" s="151"/>
      <c r="F369" s="15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</row>
    <row r="370" spans="1:24" ht="15.75" customHeight="1" x14ac:dyDescent="0.2">
      <c r="A370" s="151"/>
      <c r="B370" s="151"/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</row>
    <row r="371" spans="1:24" ht="15.75" customHeight="1" x14ac:dyDescent="0.2">
      <c r="A371" s="151"/>
      <c r="B371" s="151"/>
      <c r="C371" s="151"/>
      <c r="D371" s="151"/>
      <c r="E371" s="151"/>
      <c r="F371" s="15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</row>
    <row r="372" spans="1:24" ht="15.75" customHeight="1" x14ac:dyDescent="0.2">
      <c r="A372" s="151"/>
      <c r="B372" s="151"/>
      <c r="C372" s="151"/>
      <c r="D372" s="151"/>
      <c r="E372" s="151"/>
      <c r="F372" s="15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</row>
    <row r="373" spans="1:24" ht="15.75" customHeight="1" x14ac:dyDescent="0.2">
      <c r="A373" s="151"/>
      <c r="B373" s="151"/>
      <c r="C373" s="151"/>
      <c r="D373" s="151"/>
      <c r="E373" s="151"/>
      <c r="F373" s="15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</row>
    <row r="374" spans="1:24" ht="15.75" customHeight="1" x14ac:dyDescent="0.2">
      <c r="A374" s="151"/>
      <c r="B374" s="151"/>
      <c r="C374" s="151"/>
      <c r="D374" s="151"/>
      <c r="E374" s="151"/>
      <c r="F374" s="15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</row>
    <row r="375" spans="1:24" ht="15.75" customHeight="1" x14ac:dyDescent="0.2">
      <c r="A375" s="151"/>
      <c r="B375" s="151"/>
      <c r="C375" s="151"/>
      <c r="D375" s="151"/>
      <c r="E375" s="151"/>
      <c r="F375" s="15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</row>
    <row r="376" spans="1:24" ht="15.75" customHeight="1" x14ac:dyDescent="0.2">
      <c r="A376" s="151"/>
      <c r="B376" s="151"/>
      <c r="C376" s="151"/>
      <c r="D376" s="151"/>
      <c r="E376" s="151"/>
      <c r="F376" s="15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</row>
    <row r="377" spans="1:24" ht="15.75" customHeight="1" x14ac:dyDescent="0.2">
      <c r="A377" s="151"/>
      <c r="B377" s="151"/>
      <c r="C377" s="151"/>
      <c r="D377" s="151"/>
      <c r="E377" s="151"/>
      <c r="F377" s="15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</row>
    <row r="378" spans="1:24" ht="15.75" customHeight="1" x14ac:dyDescent="0.2">
      <c r="A378" s="151"/>
      <c r="B378" s="151"/>
      <c r="C378" s="151"/>
      <c r="D378" s="151"/>
      <c r="E378" s="151"/>
      <c r="F378" s="15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</row>
    <row r="379" spans="1:24" ht="15.75" customHeight="1" x14ac:dyDescent="0.2">
      <c r="A379" s="151"/>
      <c r="B379" s="151"/>
      <c r="C379" s="151"/>
      <c r="D379" s="151"/>
      <c r="E379" s="151"/>
      <c r="F379" s="15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</row>
    <row r="380" spans="1:24" ht="15.75" customHeight="1" x14ac:dyDescent="0.2">
      <c r="A380" s="151"/>
      <c r="B380" s="151"/>
      <c r="C380" s="151"/>
      <c r="D380" s="151"/>
      <c r="E380" s="151"/>
      <c r="F380" s="15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</row>
    <row r="381" spans="1:24" ht="15.75" customHeight="1" x14ac:dyDescent="0.2">
      <c r="A381" s="151"/>
      <c r="B381" s="151"/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</row>
    <row r="382" spans="1:24" ht="15.75" customHeight="1" x14ac:dyDescent="0.2">
      <c r="A382" s="151"/>
      <c r="B382" s="151"/>
      <c r="C382" s="151"/>
      <c r="D382" s="151"/>
      <c r="E382" s="151"/>
      <c r="F382" s="15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</row>
    <row r="383" spans="1:24" ht="15.75" customHeight="1" x14ac:dyDescent="0.2">
      <c r="A383" s="151"/>
      <c r="B383" s="151"/>
      <c r="C383" s="151"/>
      <c r="D383" s="151"/>
      <c r="E383" s="151"/>
      <c r="F383" s="15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</row>
    <row r="384" spans="1:24" ht="15.75" customHeight="1" x14ac:dyDescent="0.2">
      <c r="A384" s="151"/>
      <c r="B384" s="151"/>
      <c r="C384" s="151"/>
      <c r="D384" s="151"/>
      <c r="E384" s="151"/>
      <c r="F384" s="15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</row>
    <row r="385" spans="1:24" ht="15.75" customHeight="1" x14ac:dyDescent="0.2">
      <c r="A385" s="151"/>
      <c r="B385" s="151"/>
      <c r="C385" s="151"/>
      <c r="D385" s="151"/>
      <c r="E385" s="151"/>
      <c r="F385" s="15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</row>
    <row r="386" spans="1:24" ht="15.75" customHeight="1" x14ac:dyDescent="0.2">
      <c r="A386" s="151"/>
      <c r="B386" s="151"/>
      <c r="C386" s="151"/>
      <c r="D386" s="151"/>
      <c r="E386" s="151"/>
      <c r="F386" s="15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</row>
    <row r="387" spans="1:24" ht="15.75" customHeight="1" x14ac:dyDescent="0.2">
      <c r="A387" s="151"/>
      <c r="B387" s="151"/>
      <c r="C387" s="151"/>
      <c r="D387" s="151"/>
      <c r="E387" s="151"/>
      <c r="F387" s="15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</row>
    <row r="388" spans="1:24" ht="15.75" customHeight="1" x14ac:dyDescent="0.2">
      <c r="A388" s="151"/>
      <c r="B388" s="151"/>
      <c r="C388" s="151"/>
      <c r="D388" s="151"/>
      <c r="E388" s="151"/>
      <c r="F388" s="15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</row>
    <row r="389" spans="1:24" ht="15.75" customHeight="1" x14ac:dyDescent="0.2">
      <c r="A389" s="151"/>
      <c r="B389" s="151"/>
      <c r="C389" s="151"/>
      <c r="D389" s="151"/>
      <c r="E389" s="151"/>
      <c r="F389" s="15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</row>
    <row r="390" spans="1:24" ht="15.75" customHeight="1" x14ac:dyDescent="0.2">
      <c r="A390" s="151"/>
      <c r="B390" s="151"/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</row>
    <row r="391" spans="1:24" ht="15.75" customHeight="1" x14ac:dyDescent="0.2">
      <c r="A391" s="151"/>
      <c r="B391" s="151"/>
      <c r="C391" s="151"/>
      <c r="D391" s="151"/>
      <c r="E391" s="151"/>
      <c r="F391" s="15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</row>
    <row r="392" spans="1:24" ht="15.75" customHeight="1" x14ac:dyDescent="0.2">
      <c r="A392" s="151"/>
      <c r="B392" s="151"/>
      <c r="C392" s="151"/>
      <c r="D392" s="151"/>
      <c r="E392" s="151"/>
      <c r="F392" s="15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</row>
    <row r="393" spans="1:24" ht="15.75" customHeight="1" x14ac:dyDescent="0.2">
      <c r="A393" s="151"/>
      <c r="B393" s="151"/>
      <c r="C393" s="151"/>
      <c r="D393" s="151"/>
      <c r="E393" s="151"/>
      <c r="F393" s="15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</row>
    <row r="394" spans="1:24" ht="15.75" customHeight="1" x14ac:dyDescent="0.2">
      <c r="A394" s="151"/>
      <c r="B394" s="151"/>
      <c r="C394" s="151"/>
      <c r="D394" s="151"/>
      <c r="E394" s="151"/>
      <c r="F394" s="15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</row>
    <row r="395" spans="1:24" ht="15.75" customHeight="1" x14ac:dyDescent="0.2">
      <c r="A395" s="151"/>
      <c r="B395" s="151"/>
      <c r="C395" s="151"/>
      <c r="D395" s="151"/>
      <c r="E395" s="151"/>
      <c r="F395" s="15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</row>
    <row r="396" spans="1:24" ht="15.75" customHeight="1" x14ac:dyDescent="0.2">
      <c r="A396" s="151"/>
      <c r="B396" s="151"/>
      <c r="C396" s="151"/>
      <c r="D396" s="151"/>
      <c r="E396" s="151"/>
      <c r="F396" s="15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</row>
    <row r="397" spans="1:24" ht="15.75" customHeight="1" x14ac:dyDescent="0.2">
      <c r="A397" s="151"/>
      <c r="B397" s="151"/>
      <c r="C397" s="151"/>
      <c r="D397" s="151"/>
      <c r="E397" s="151"/>
      <c r="F397" s="15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</row>
    <row r="398" spans="1:24" ht="15.75" customHeight="1" x14ac:dyDescent="0.2">
      <c r="A398" s="151"/>
      <c r="B398" s="151"/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</row>
    <row r="399" spans="1:24" ht="15.75" customHeight="1" x14ac:dyDescent="0.2">
      <c r="A399" s="151"/>
      <c r="B399" s="151"/>
      <c r="C399" s="151"/>
      <c r="D399" s="151"/>
      <c r="E399" s="151"/>
      <c r="F399" s="15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</row>
    <row r="400" spans="1:24" ht="15.75" customHeight="1" x14ac:dyDescent="0.2">
      <c r="A400" s="151"/>
      <c r="B400" s="151"/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</row>
    <row r="401" spans="1:24" ht="15.75" customHeight="1" x14ac:dyDescent="0.2">
      <c r="A401" s="151"/>
      <c r="B401" s="151"/>
      <c r="C401" s="151"/>
      <c r="D401" s="151"/>
      <c r="E401" s="151"/>
      <c r="F401" s="15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</row>
    <row r="402" spans="1:24" ht="15.75" customHeight="1" x14ac:dyDescent="0.2">
      <c r="A402" s="151"/>
      <c r="B402" s="151"/>
      <c r="C402" s="151"/>
      <c r="D402" s="151"/>
      <c r="E402" s="151"/>
      <c r="F402" s="15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</row>
    <row r="403" spans="1:24" ht="15.75" customHeight="1" x14ac:dyDescent="0.2">
      <c r="A403" s="151"/>
      <c r="B403" s="151"/>
      <c r="C403" s="151"/>
      <c r="D403" s="151"/>
      <c r="E403" s="151"/>
      <c r="F403" s="15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</row>
    <row r="404" spans="1:24" ht="15.75" customHeight="1" x14ac:dyDescent="0.2">
      <c r="A404" s="151"/>
      <c r="B404" s="151"/>
      <c r="C404" s="151"/>
      <c r="D404" s="151"/>
      <c r="E404" s="151"/>
      <c r="F404" s="15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</row>
    <row r="405" spans="1:24" ht="15.75" customHeight="1" x14ac:dyDescent="0.2">
      <c r="A405" s="151"/>
      <c r="B405" s="151"/>
      <c r="C405" s="151"/>
      <c r="D405" s="151"/>
      <c r="E405" s="151"/>
      <c r="F405" s="15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</row>
    <row r="406" spans="1:24" ht="15.75" customHeight="1" x14ac:dyDescent="0.2">
      <c r="A406" s="151"/>
      <c r="B406" s="151"/>
      <c r="C406" s="151"/>
      <c r="D406" s="151"/>
      <c r="E406" s="151"/>
      <c r="F406" s="15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</row>
    <row r="407" spans="1:24" ht="15.75" customHeight="1" x14ac:dyDescent="0.2">
      <c r="A407" s="151"/>
      <c r="B407" s="151"/>
      <c r="C407" s="151"/>
      <c r="D407" s="151"/>
      <c r="E407" s="151"/>
      <c r="F407" s="15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</row>
    <row r="408" spans="1:24" ht="15.75" customHeight="1" x14ac:dyDescent="0.2">
      <c r="A408" s="151"/>
      <c r="B408" s="151"/>
      <c r="C408" s="151"/>
      <c r="D408" s="151"/>
      <c r="E408" s="151"/>
      <c r="F408" s="15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</row>
    <row r="409" spans="1:24" ht="15.75" customHeight="1" x14ac:dyDescent="0.2">
      <c r="A409" s="151"/>
      <c r="B409" s="151"/>
      <c r="C409" s="151"/>
      <c r="D409" s="151"/>
      <c r="E409" s="151"/>
      <c r="F409" s="15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</row>
    <row r="410" spans="1:24" ht="15.75" customHeight="1" x14ac:dyDescent="0.2">
      <c r="A410" s="151"/>
      <c r="B410" s="151"/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</row>
    <row r="411" spans="1:24" ht="15.75" customHeight="1" x14ac:dyDescent="0.2">
      <c r="A411" s="151"/>
      <c r="B411" s="151"/>
      <c r="C411" s="151"/>
      <c r="D411" s="151"/>
      <c r="E411" s="151"/>
      <c r="F411" s="15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</row>
    <row r="412" spans="1:24" ht="15.75" customHeight="1" x14ac:dyDescent="0.2">
      <c r="A412" s="151"/>
      <c r="B412" s="151"/>
      <c r="C412" s="151"/>
      <c r="D412" s="151"/>
      <c r="E412" s="151"/>
      <c r="F412" s="15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</row>
    <row r="413" spans="1:24" ht="15.75" customHeight="1" x14ac:dyDescent="0.2">
      <c r="A413" s="151"/>
      <c r="B413" s="151"/>
      <c r="C413" s="151"/>
      <c r="D413" s="151"/>
      <c r="E413" s="151"/>
      <c r="F413" s="15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</row>
    <row r="414" spans="1:24" ht="15.75" customHeight="1" x14ac:dyDescent="0.2">
      <c r="A414" s="151"/>
      <c r="B414" s="151"/>
      <c r="C414" s="151"/>
      <c r="D414" s="151"/>
      <c r="E414" s="151"/>
      <c r="F414" s="15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</row>
    <row r="415" spans="1:24" ht="15.75" customHeight="1" x14ac:dyDescent="0.2">
      <c r="A415" s="151"/>
      <c r="B415" s="151"/>
      <c r="C415" s="151"/>
      <c r="D415" s="151"/>
      <c r="E415" s="151"/>
      <c r="F415" s="15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</row>
    <row r="416" spans="1:24" ht="15.75" customHeight="1" x14ac:dyDescent="0.2">
      <c r="A416" s="151"/>
      <c r="B416" s="151"/>
      <c r="C416" s="151"/>
      <c r="D416" s="151"/>
      <c r="E416" s="151"/>
      <c r="F416" s="15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</row>
    <row r="417" spans="1:24" ht="15.75" customHeight="1" x14ac:dyDescent="0.2">
      <c r="A417" s="151"/>
      <c r="B417" s="151"/>
      <c r="C417" s="151"/>
      <c r="D417" s="151"/>
      <c r="E417" s="151"/>
      <c r="F417" s="15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</row>
    <row r="418" spans="1:24" ht="15.75" customHeight="1" x14ac:dyDescent="0.2">
      <c r="A418" s="151"/>
      <c r="B418" s="151"/>
      <c r="C418" s="151"/>
      <c r="D418" s="151"/>
      <c r="E418" s="151"/>
      <c r="F418" s="15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</row>
    <row r="419" spans="1:24" ht="15.75" customHeight="1" x14ac:dyDescent="0.2">
      <c r="A419" s="151"/>
      <c r="B419" s="151"/>
      <c r="C419" s="151"/>
      <c r="D419" s="151"/>
      <c r="E419" s="151"/>
      <c r="F419" s="15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</row>
    <row r="420" spans="1:24" ht="15.75" customHeight="1" x14ac:dyDescent="0.2">
      <c r="A420" s="151"/>
      <c r="B420" s="151"/>
      <c r="C420" s="151"/>
      <c r="D420" s="151"/>
      <c r="E420" s="151"/>
      <c r="F420" s="15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</row>
    <row r="421" spans="1:24" ht="15.75" customHeight="1" x14ac:dyDescent="0.2">
      <c r="A421" s="151"/>
      <c r="B421" s="151"/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</row>
    <row r="422" spans="1:24" ht="15.75" customHeight="1" x14ac:dyDescent="0.2">
      <c r="A422" s="151"/>
      <c r="B422" s="151"/>
      <c r="C422" s="151"/>
      <c r="D422" s="151"/>
      <c r="E422" s="151"/>
      <c r="F422" s="15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</row>
    <row r="423" spans="1:24" ht="15.75" customHeight="1" x14ac:dyDescent="0.2">
      <c r="A423" s="151"/>
      <c r="B423" s="151"/>
      <c r="C423" s="151"/>
      <c r="D423" s="151"/>
      <c r="E423" s="151"/>
      <c r="F423" s="15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</row>
    <row r="424" spans="1:24" ht="15.75" customHeight="1" x14ac:dyDescent="0.2">
      <c r="A424" s="151"/>
      <c r="B424" s="151"/>
      <c r="C424" s="151"/>
      <c r="D424" s="151"/>
      <c r="E424" s="151"/>
      <c r="F424" s="15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</row>
    <row r="425" spans="1:24" ht="15.75" customHeight="1" x14ac:dyDescent="0.2">
      <c r="A425" s="151"/>
      <c r="B425" s="151"/>
      <c r="C425" s="151"/>
      <c r="D425" s="151"/>
      <c r="E425" s="151"/>
      <c r="F425" s="15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</row>
    <row r="426" spans="1:24" ht="15.75" customHeight="1" x14ac:dyDescent="0.2">
      <c r="A426" s="151"/>
      <c r="B426" s="151"/>
      <c r="C426" s="151"/>
      <c r="D426" s="151"/>
      <c r="E426" s="151"/>
      <c r="F426" s="15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</row>
    <row r="427" spans="1:24" ht="15.75" customHeight="1" x14ac:dyDescent="0.2">
      <c r="A427" s="151"/>
      <c r="B427" s="151"/>
      <c r="C427" s="151"/>
      <c r="D427" s="151"/>
      <c r="E427" s="151"/>
      <c r="F427" s="15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</row>
    <row r="428" spans="1:24" ht="15.75" customHeight="1" x14ac:dyDescent="0.2">
      <c r="A428" s="151"/>
      <c r="B428" s="151"/>
      <c r="C428" s="151"/>
      <c r="D428" s="151"/>
      <c r="E428" s="151"/>
      <c r="F428" s="15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</row>
    <row r="429" spans="1:24" ht="15.75" customHeight="1" x14ac:dyDescent="0.2">
      <c r="A429" s="151"/>
      <c r="B429" s="151"/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</row>
    <row r="430" spans="1:24" ht="15.75" customHeight="1" x14ac:dyDescent="0.2">
      <c r="A430" s="151"/>
      <c r="B430" s="151"/>
      <c r="C430" s="151"/>
      <c r="D430" s="151"/>
      <c r="E430" s="151"/>
      <c r="F430" s="15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</row>
    <row r="431" spans="1:24" ht="15.75" customHeight="1" x14ac:dyDescent="0.2">
      <c r="A431" s="151"/>
      <c r="B431" s="151"/>
      <c r="C431" s="151"/>
      <c r="D431" s="151"/>
      <c r="E431" s="151"/>
      <c r="F431" s="15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</row>
    <row r="432" spans="1:24" ht="15.75" customHeight="1" x14ac:dyDescent="0.2">
      <c r="A432" s="151"/>
      <c r="B432" s="151"/>
      <c r="C432" s="151"/>
      <c r="D432" s="151"/>
      <c r="E432" s="151"/>
      <c r="F432" s="15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</row>
    <row r="433" spans="1:24" ht="15.75" customHeight="1" x14ac:dyDescent="0.2">
      <c r="A433" s="151"/>
      <c r="B433" s="151"/>
      <c r="C433" s="151"/>
      <c r="D433" s="151"/>
      <c r="E433" s="151"/>
      <c r="F433" s="15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</row>
    <row r="434" spans="1:24" ht="15.75" customHeight="1" x14ac:dyDescent="0.2">
      <c r="A434" s="151"/>
      <c r="B434" s="151"/>
      <c r="C434" s="151"/>
      <c r="D434" s="151"/>
      <c r="E434" s="151"/>
      <c r="F434" s="15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</row>
    <row r="435" spans="1:24" ht="15.75" customHeight="1" x14ac:dyDescent="0.2">
      <c r="A435" s="151"/>
      <c r="B435" s="151"/>
      <c r="C435" s="151"/>
      <c r="D435" s="151"/>
      <c r="E435" s="151"/>
      <c r="F435" s="15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</row>
    <row r="436" spans="1:24" ht="15.75" customHeight="1" x14ac:dyDescent="0.2">
      <c r="A436" s="151"/>
      <c r="B436" s="151"/>
      <c r="C436" s="151"/>
      <c r="D436" s="151"/>
      <c r="E436" s="151"/>
      <c r="F436" s="15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</row>
    <row r="437" spans="1:24" ht="15.75" customHeight="1" x14ac:dyDescent="0.2">
      <c r="A437" s="151"/>
      <c r="B437" s="151"/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</row>
    <row r="438" spans="1:24" ht="15.75" customHeight="1" x14ac:dyDescent="0.2">
      <c r="A438" s="151"/>
      <c r="B438" s="151"/>
      <c r="C438" s="151"/>
      <c r="D438" s="151"/>
      <c r="E438" s="151"/>
      <c r="F438" s="15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</row>
    <row r="439" spans="1:24" ht="15.75" customHeight="1" x14ac:dyDescent="0.2">
      <c r="A439" s="151"/>
      <c r="B439" s="151"/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</row>
    <row r="440" spans="1:24" ht="15.75" customHeight="1" x14ac:dyDescent="0.2">
      <c r="A440" s="151"/>
      <c r="B440" s="151"/>
      <c r="C440" s="151"/>
      <c r="D440" s="151"/>
      <c r="E440" s="151"/>
      <c r="F440" s="15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</row>
    <row r="441" spans="1:24" ht="15.75" customHeight="1" x14ac:dyDescent="0.2">
      <c r="A441" s="151"/>
      <c r="B441" s="151"/>
      <c r="C441" s="151"/>
      <c r="D441" s="151"/>
      <c r="E441" s="151"/>
      <c r="F441" s="15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</row>
    <row r="442" spans="1:24" ht="15.75" customHeight="1" x14ac:dyDescent="0.2">
      <c r="A442" s="151"/>
      <c r="B442" s="151"/>
      <c r="C442" s="151"/>
      <c r="D442" s="151"/>
      <c r="E442" s="151"/>
      <c r="F442" s="15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</row>
    <row r="443" spans="1:24" ht="15.75" customHeight="1" x14ac:dyDescent="0.2">
      <c r="A443" s="151"/>
      <c r="B443" s="151"/>
      <c r="C443" s="151"/>
      <c r="D443" s="151"/>
      <c r="E443" s="151"/>
      <c r="F443" s="15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</row>
    <row r="444" spans="1:24" ht="15.75" customHeight="1" x14ac:dyDescent="0.2">
      <c r="A444" s="151"/>
      <c r="B444" s="151"/>
      <c r="C444" s="151"/>
      <c r="D444" s="151"/>
      <c r="E444" s="151"/>
      <c r="F444" s="15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</row>
    <row r="445" spans="1:24" ht="15.75" customHeight="1" x14ac:dyDescent="0.2">
      <c r="A445" s="151"/>
      <c r="B445" s="151"/>
      <c r="C445" s="151"/>
      <c r="D445" s="151"/>
      <c r="E445" s="151"/>
      <c r="F445" s="15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</row>
    <row r="446" spans="1:24" ht="15.75" customHeight="1" x14ac:dyDescent="0.2">
      <c r="A446" s="151"/>
      <c r="B446" s="151"/>
      <c r="C446" s="151"/>
      <c r="D446" s="151"/>
      <c r="E446" s="151"/>
      <c r="F446" s="15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</row>
    <row r="447" spans="1:24" ht="15.75" customHeight="1" x14ac:dyDescent="0.2">
      <c r="A447" s="151"/>
      <c r="B447" s="151"/>
      <c r="C447" s="151"/>
      <c r="D447" s="151"/>
      <c r="E447" s="151"/>
      <c r="F447" s="15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</row>
    <row r="448" spans="1:24" ht="15.75" customHeight="1" x14ac:dyDescent="0.2">
      <c r="A448" s="151"/>
      <c r="B448" s="151"/>
      <c r="C448" s="151"/>
      <c r="D448" s="151"/>
      <c r="E448" s="151"/>
      <c r="F448" s="15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</row>
    <row r="449" spans="1:24" ht="15.75" customHeight="1" x14ac:dyDescent="0.2">
      <c r="A449" s="151"/>
      <c r="B449" s="151"/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</row>
    <row r="450" spans="1:24" ht="15.75" customHeight="1" x14ac:dyDescent="0.2">
      <c r="A450" s="151"/>
      <c r="B450" s="151"/>
      <c r="C450" s="151"/>
      <c r="D450" s="151"/>
      <c r="E450" s="151"/>
      <c r="F450" s="15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</row>
    <row r="451" spans="1:24" ht="15.75" customHeight="1" x14ac:dyDescent="0.2">
      <c r="A451" s="151"/>
      <c r="B451" s="151"/>
      <c r="C451" s="151"/>
      <c r="D451" s="151"/>
      <c r="E451" s="151"/>
      <c r="F451" s="15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</row>
    <row r="452" spans="1:24" ht="15.75" customHeight="1" x14ac:dyDescent="0.2">
      <c r="A452" s="151"/>
      <c r="B452" s="151"/>
      <c r="C452" s="151"/>
      <c r="D452" s="151"/>
      <c r="E452" s="151"/>
      <c r="F452" s="15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</row>
    <row r="453" spans="1:24" ht="15.75" customHeight="1" x14ac:dyDescent="0.2">
      <c r="A453" s="151"/>
      <c r="B453" s="151"/>
      <c r="C453" s="151"/>
      <c r="D453" s="151"/>
      <c r="E453" s="151"/>
      <c r="F453" s="15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</row>
    <row r="454" spans="1:24" ht="15.75" customHeight="1" x14ac:dyDescent="0.2">
      <c r="A454" s="151"/>
      <c r="B454" s="151"/>
      <c r="C454" s="151"/>
      <c r="D454" s="151"/>
      <c r="E454" s="151"/>
      <c r="F454" s="15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</row>
    <row r="455" spans="1:24" ht="15.75" customHeight="1" x14ac:dyDescent="0.2">
      <c r="A455" s="151"/>
      <c r="B455" s="151"/>
      <c r="C455" s="151"/>
      <c r="D455" s="151"/>
      <c r="E455" s="151"/>
      <c r="F455" s="15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</row>
    <row r="456" spans="1:24" ht="15.75" customHeight="1" x14ac:dyDescent="0.2">
      <c r="A456" s="151"/>
      <c r="B456" s="151"/>
      <c r="C456" s="151"/>
      <c r="D456" s="151"/>
      <c r="E456" s="151"/>
      <c r="F456" s="15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</row>
    <row r="457" spans="1:24" ht="15.75" customHeight="1" x14ac:dyDescent="0.2">
      <c r="A457" s="151"/>
      <c r="B457" s="151"/>
      <c r="C457" s="151"/>
      <c r="D457" s="151"/>
      <c r="E457" s="151"/>
      <c r="F457" s="15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</row>
    <row r="458" spans="1:24" ht="15.75" customHeight="1" x14ac:dyDescent="0.2">
      <c r="A458" s="151"/>
      <c r="B458" s="151"/>
      <c r="C458" s="151"/>
      <c r="D458" s="151"/>
      <c r="E458" s="151"/>
      <c r="F458" s="15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</row>
    <row r="459" spans="1:24" ht="15.75" customHeight="1" x14ac:dyDescent="0.2">
      <c r="A459" s="151"/>
      <c r="B459" s="151"/>
      <c r="C459" s="151"/>
      <c r="D459" s="151"/>
      <c r="E459" s="151"/>
      <c r="F459" s="15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</row>
    <row r="460" spans="1:24" ht="15.75" customHeight="1" x14ac:dyDescent="0.2">
      <c r="A460" s="151"/>
      <c r="B460" s="151"/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</row>
    <row r="461" spans="1:24" ht="15.75" customHeight="1" x14ac:dyDescent="0.2">
      <c r="A461" s="151"/>
      <c r="B461" s="151"/>
      <c r="C461" s="151"/>
      <c r="D461" s="151"/>
      <c r="E461" s="151"/>
      <c r="F461" s="15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</row>
    <row r="462" spans="1:24" ht="15.75" customHeight="1" x14ac:dyDescent="0.2">
      <c r="A462" s="151"/>
      <c r="B462" s="151"/>
      <c r="C462" s="151"/>
      <c r="D462" s="151"/>
      <c r="E462" s="151"/>
      <c r="F462" s="15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</row>
    <row r="463" spans="1:24" ht="15.75" customHeight="1" x14ac:dyDescent="0.2">
      <c r="A463" s="151"/>
      <c r="B463" s="151"/>
      <c r="C463" s="151"/>
      <c r="D463" s="151"/>
      <c r="E463" s="151"/>
      <c r="F463" s="15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</row>
    <row r="464" spans="1:24" ht="15.75" customHeight="1" x14ac:dyDescent="0.2">
      <c r="A464" s="151"/>
      <c r="B464" s="151"/>
      <c r="C464" s="151"/>
      <c r="D464" s="151"/>
      <c r="E464" s="151"/>
      <c r="F464" s="15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</row>
    <row r="465" spans="1:24" ht="15.75" customHeight="1" x14ac:dyDescent="0.2">
      <c r="A465" s="151"/>
      <c r="B465" s="151"/>
      <c r="C465" s="151"/>
      <c r="D465" s="151"/>
      <c r="E465" s="151"/>
      <c r="F465" s="15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</row>
    <row r="466" spans="1:24" ht="15.75" customHeight="1" x14ac:dyDescent="0.2">
      <c r="A466" s="151"/>
      <c r="B466" s="151"/>
      <c r="C466" s="151"/>
      <c r="D466" s="151"/>
      <c r="E466" s="151"/>
      <c r="F466" s="15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</row>
    <row r="467" spans="1:24" ht="15.75" customHeight="1" x14ac:dyDescent="0.2">
      <c r="A467" s="151"/>
      <c r="B467" s="151"/>
      <c r="C467" s="151"/>
      <c r="D467" s="151"/>
      <c r="E467" s="151"/>
      <c r="F467" s="15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</row>
    <row r="468" spans="1:24" ht="15.75" customHeight="1" x14ac:dyDescent="0.2">
      <c r="A468" s="151"/>
      <c r="B468" s="151"/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</row>
    <row r="469" spans="1:24" ht="15.75" customHeight="1" x14ac:dyDescent="0.2">
      <c r="A469" s="151"/>
      <c r="B469" s="151"/>
      <c r="C469" s="151"/>
      <c r="D469" s="151"/>
      <c r="E469" s="151"/>
      <c r="F469" s="15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</row>
    <row r="470" spans="1:24" ht="15.75" customHeight="1" x14ac:dyDescent="0.2">
      <c r="A470" s="151"/>
      <c r="B470" s="151"/>
      <c r="C470" s="151"/>
      <c r="D470" s="151"/>
      <c r="E470" s="151"/>
      <c r="F470" s="15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</row>
    <row r="471" spans="1:24" ht="15.75" customHeight="1" x14ac:dyDescent="0.2">
      <c r="A471" s="151"/>
      <c r="B471" s="151"/>
      <c r="C471" s="151"/>
      <c r="D471" s="151"/>
      <c r="E471" s="151"/>
      <c r="F471" s="15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</row>
    <row r="472" spans="1:24" ht="15.75" customHeight="1" x14ac:dyDescent="0.2">
      <c r="A472" s="151"/>
      <c r="B472" s="151"/>
      <c r="C472" s="151"/>
      <c r="D472" s="151"/>
      <c r="E472" s="151"/>
      <c r="F472" s="15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</row>
    <row r="473" spans="1:24" ht="15.75" customHeight="1" x14ac:dyDescent="0.2">
      <c r="A473" s="151"/>
      <c r="B473" s="151"/>
      <c r="C473" s="151"/>
      <c r="D473" s="151"/>
      <c r="E473" s="151"/>
      <c r="F473" s="15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</row>
    <row r="474" spans="1:24" ht="15.75" customHeight="1" x14ac:dyDescent="0.2">
      <c r="A474" s="151"/>
      <c r="B474" s="151"/>
      <c r="C474" s="151"/>
      <c r="D474" s="151"/>
      <c r="E474" s="151"/>
      <c r="F474" s="15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</row>
    <row r="475" spans="1:24" ht="15.75" customHeight="1" x14ac:dyDescent="0.2">
      <c r="A475" s="151"/>
      <c r="B475" s="151"/>
      <c r="C475" s="151"/>
      <c r="D475" s="151"/>
      <c r="E475" s="151"/>
      <c r="F475" s="15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</row>
    <row r="476" spans="1:24" ht="15.75" customHeight="1" x14ac:dyDescent="0.2">
      <c r="A476" s="151"/>
      <c r="B476" s="151"/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</row>
    <row r="477" spans="1:24" ht="15.75" customHeight="1" x14ac:dyDescent="0.2">
      <c r="A477" s="151"/>
      <c r="B477" s="151"/>
      <c r="C477" s="151"/>
      <c r="D477" s="151"/>
      <c r="E477" s="151"/>
      <c r="F477" s="15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</row>
    <row r="478" spans="1:24" ht="15.75" customHeight="1" x14ac:dyDescent="0.2">
      <c r="A478" s="151"/>
      <c r="B478" s="151"/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</row>
    <row r="479" spans="1:24" ht="15.75" customHeight="1" x14ac:dyDescent="0.2">
      <c r="A479" s="151"/>
      <c r="B479" s="151"/>
      <c r="C479" s="151"/>
      <c r="D479" s="151"/>
      <c r="E479" s="151"/>
      <c r="F479" s="15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</row>
    <row r="480" spans="1:24" ht="15.75" customHeight="1" x14ac:dyDescent="0.2">
      <c r="A480" s="151"/>
      <c r="B480" s="151"/>
      <c r="C480" s="151"/>
      <c r="D480" s="151"/>
      <c r="E480" s="151"/>
      <c r="F480" s="15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</row>
    <row r="481" spans="1:24" ht="15.75" customHeight="1" x14ac:dyDescent="0.2">
      <c r="A481" s="151"/>
      <c r="B481" s="151"/>
      <c r="C481" s="151"/>
      <c r="D481" s="151"/>
      <c r="E481" s="151"/>
      <c r="F481" s="15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</row>
    <row r="482" spans="1:24" ht="15.75" customHeight="1" x14ac:dyDescent="0.2">
      <c r="A482" s="151"/>
      <c r="B482" s="151"/>
      <c r="C482" s="151"/>
      <c r="D482" s="151"/>
      <c r="E482" s="151"/>
      <c r="F482" s="15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</row>
    <row r="483" spans="1:24" ht="15.75" customHeight="1" x14ac:dyDescent="0.2">
      <c r="A483" s="151"/>
      <c r="B483" s="151"/>
      <c r="C483" s="151"/>
      <c r="D483" s="151"/>
      <c r="E483" s="151"/>
      <c r="F483" s="15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</row>
    <row r="484" spans="1:24" ht="15.75" customHeight="1" x14ac:dyDescent="0.2">
      <c r="A484" s="151"/>
      <c r="B484" s="151"/>
      <c r="C484" s="151"/>
      <c r="D484" s="151"/>
      <c r="E484" s="151"/>
      <c r="F484" s="15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</row>
    <row r="485" spans="1:24" ht="15.75" customHeight="1" x14ac:dyDescent="0.2">
      <c r="A485" s="151"/>
      <c r="B485" s="151"/>
      <c r="C485" s="151"/>
      <c r="D485" s="151"/>
      <c r="E485" s="151"/>
      <c r="F485" s="15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</row>
    <row r="486" spans="1:24" ht="15.75" customHeight="1" x14ac:dyDescent="0.2">
      <c r="A486" s="151"/>
      <c r="B486" s="151"/>
      <c r="C486" s="151"/>
      <c r="D486" s="151"/>
      <c r="E486" s="151"/>
      <c r="F486" s="15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</row>
    <row r="487" spans="1:24" ht="15.75" customHeight="1" x14ac:dyDescent="0.2">
      <c r="A487" s="151"/>
      <c r="B487" s="151"/>
      <c r="C487" s="151"/>
      <c r="D487" s="151"/>
      <c r="E487" s="151"/>
      <c r="F487" s="15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</row>
    <row r="488" spans="1:24" ht="15.75" customHeight="1" x14ac:dyDescent="0.2">
      <c r="A488" s="151"/>
      <c r="B488" s="151"/>
      <c r="C488" s="151"/>
      <c r="D488" s="151"/>
      <c r="E488" s="151"/>
      <c r="F488" s="15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</row>
    <row r="489" spans="1:24" ht="15.75" customHeight="1" x14ac:dyDescent="0.2">
      <c r="A489" s="151"/>
      <c r="B489" s="151"/>
      <c r="C489" s="151"/>
      <c r="D489" s="151"/>
      <c r="E489" s="151"/>
      <c r="F489" s="15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</row>
    <row r="490" spans="1:24" ht="15.75" customHeight="1" x14ac:dyDescent="0.2">
      <c r="A490" s="151"/>
      <c r="B490" s="151"/>
      <c r="C490" s="151"/>
      <c r="D490" s="151"/>
      <c r="E490" s="151"/>
      <c r="F490" s="15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</row>
    <row r="491" spans="1:24" ht="15.75" customHeight="1" x14ac:dyDescent="0.2">
      <c r="A491" s="151"/>
      <c r="B491" s="151"/>
      <c r="C491" s="151"/>
      <c r="D491" s="151"/>
      <c r="E491" s="151"/>
      <c r="F491" s="15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</row>
    <row r="492" spans="1:24" ht="15.75" customHeight="1" x14ac:dyDescent="0.2">
      <c r="A492" s="151"/>
      <c r="B492" s="151"/>
      <c r="C492" s="151"/>
      <c r="D492" s="151"/>
      <c r="E492" s="151"/>
      <c r="F492" s="15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</row>
    <row r="493" spans="1:24" ht="15.75" customHeight="1" x14ac:dyDescent="0.2">
      <c r="A493" s="151"/>
      <c r="B493" s="151"/>
      <c r="C493" s="151"/>
      <c r="D493" s="151"/>
      <c r="E493" s="151"/>
      <c r="F493" s="15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</row>
    <row r="494" spans="1:24" ht="15.75" customHeight="1" x14ac:dyDescent="0.2">
      <c r="A494" s="151"/>
      <c r="B494" s="151"/>
      <c r="C494" s="151"/>
      <c r="D494" s="151"/>
      <c r="E494" s="151"/>
      <c r="F494" s="15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</row>
    <row r="495" spans="1:24" ht="15.75" customHeight="1" x14ac:dyDescent="0.2">
      <c r="A495" s="151"/>
      <c r="B495" s="151"/>
      <c r="C495" s="151"/>
      <c r="D495" s="151"/>
      <c r="E495" s="151"/>
      <c r="F495" s="15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</row>
    <row r="496" spans="1:24" ht="15.75" customHeight="1" x14ac:dyDescent="0.2">
      <c r="A496" s="151"/>
      <c r="B496" s="151"/>
      <c r="C496" s="151"/>
      <c r="D496" s="151"/>
      <c r="E496" s="151"/>
      <c r="F496" s="15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</row>
    <row r="497" spans="1:24" ht="15.75" customHeight="1" x14ac:dyDescent="0.2">
      <c r="A497" s="151"/>
      <c r="B497" s="151"/>
      <c r="C497" s="151"/>
      <c r="D497" s="151"/>
      <c r="E497" s="151"/>
      <c r="F497" s="15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</row>
    <row r="498" spans="1:24" ht="15.75" customHeight="1" x14ac:dyDescent="0.2">
      <c r="A498" s="151"/>
      <c r="B498" s="151"/>
      <c r="C498" s="151"/>
      <c r="D498" s="151"/>
      <c r="E498" s="151"/>
      <c r="F498" s="15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</row>
    <row r="499" spans="1:24" ht="15.75" customHeight="1" x14ac:dyDescent="0.2">
      <c r="A499" s="151"/>
      <c r="B499" s="151"/>
      <c r="C499" s="151"/>
      <c r="D499" s="151"/>
      <c r="E499" s="151"/>
      <c r="F499" s="15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</row>
    <row r="500" spans="1:24" ht="15.75" customHeight="1" x14ac:dyDescent="0.2">
      <c r="A500" s="151"/>
      <c r="B500" s="151"/>
      <c r="C500" s="151"/>
      <c r="D500" s="151"/>
      <c r="E500" s="151"/>
      <c r="F500" s="15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</row>
    <row r="501" spans="1:24" ht="15.75" customHeight="1" x14ac:dyDescent="0.2">
      <c r="A501" s="151"/>
      <c r="B501" s="151"/>
      <c r="C501" s="151"/>
      <c r="D501" s="151"/>
      <c r="E501" s="151"/>
      <c r="F501" s="15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</row>
    <row r="502" spans="1:24" ht="15.75" customHeight="1" x14ac:dyDescent="0.2">
      <c r="A502" s="151"/>
      <c r="B502" s="151"/>
      <c r="C502" s="151"/>
      <c r="D502" s="151"/>
      <c r="E502" s="151"/>
      <c r="F502" s="15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</row>
    <row r="503" spans="1:24" ht="15.75" customHeight="1" x14ac:dyDescent="0.2">
      <c r="A503" s="151"/>
      <c r="B503" s="151"/>
      <c r="C503" s="151"/>
      <c r="D503" s="151"/>
      <c r="E503" s="151"/>
      <c r="F503" s="15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</row>
    <row r="504" spans="1:24" ht="15.75" customHeight="1" x14ac:dyDescent="0.2">
      <c r="A504" s="151"/>
      <c r="B504" s="151"/>
      <c r="C504" s="151"/>
      <c r="D504" s="151"/>
      <c r="E504" s="151"/>
      <c r="F504" s="15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</row>
    <row r="505" spans="1:24" ht="15.75" customHeight="1" x14ac:dyDescent="0.2">
      <c r="A505" s="151"/>
      <c r="B505" s="151"/>
      <c r="C505" s="151"/>
      <c r="D505" s="151"/>
      <c r="E505" s="151"/>
      <c r="F505" s="15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</row>
    <row r="506" spans="1:24" ht="15.75" customHeight="1" x14ac:dyDescent="0.2">
      <c r="A506" s="151"/>
      <c r="B506" s="151"/>
      <c r="C506" s="151"/>
      <c r="D506" s="151"/>
      <c r="E506" s="151"/>
      <c r="F506" s="15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</row>
    <row r="507" spans="1:24" ht="15.75" customHeight="1" x14ac:dyDescent="0.2">
      <c r="A507" s="151"/>
      <c r="B507" s="151"/>
      <c r="C507" s="151"/>
      <c r="D507" s="151"/>
      <c r="E507" s="151"/>
      <c r="F507" s="15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</row>
    <row r="508" spans="1:24" ht="15.75" customHeight="1" x14ac:dyDescent="0.2">
      <c r="A508" s="151"/>
      <c r="B508" s="151"/>
      <c r="C508" s="151"/>
      <c r="D508" s="151"/>
      <c r="E508" s="151"/>
      <c r="F508" s="15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</row>
    <row r="509" spans="1:24" ht="15.75" customHeight="1" x14ac:dyDescent="0.2">
      <c r="A509" s="151"/>
      <c r="B509" s="151"/>
      <c r="C509" s="151"/>
      <c r="D509" s="151"/>
      <c r="E509" s="151"/>
      <c r="F509" s="15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</row>
    <row r="510" spans="1:24" ht="15.75" customHeight="1" x14ac:dyDescent="0.2">
      <c r="A510" s="151"/>
      <c r="B510" s="151"/>
      <c r="C510" s="151"/>
      <c r="D510" s="151"/>
      <c r="E510" s="151"/>
      <c r="F510" s="15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</row>
    <row r="511" spans="1:24" ht="15.75" customHeight="1" x14ac:dyDescent="0.2">
      <c r="A511" s="151"/>
      <c r="B511" s="151"/>
      <c r="C511" s="151"/>
      <c r="D511" s="151"/>
      <c r="E511" s="151"/>
      <c r="F511" s="15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</row>
    <row r="512" spans="1:24" ht="15.75" customHeight="1" x14ac:dyDescent="0.2">
      <c r="A512" s="151"/>
      <c r="B512" s="151"/>
      <c r="C512" s="151"/>
      <c r="D512" s="151"/>
      <c r="E512" s="151"/>
      <c r="F512" s="15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</row>
    <row r="513" spans="1:24" ht="15.75" customHeight="1" x14ac:dyDescent="0.2">
      <c r="A513" s="151"/>
      <c r="B513" s="151"/>
      <c r="C513" s="151"/>
      <c r="D513" s="151"/>
      <c r="E513" s="151"/>
      <c r="F513" s="15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</row>
    <row r="514" spans="1:24" ht="15.75" customHeight="1" x14ac:dyDescent="0.2">
      <c r="A514" s="151"/>
      <c r="B514" s="151"/>
      <c r="C514" s="151"/>
      <c r="D514" s="151"/>
      <c r="E514" s="151"/>
      <c r="F514" s="15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</row>
    <row r="515" spans="1:24" ht="15.75" customHeight="1" x14ac:dyDescent="0.2">
      <c r="A515" s="151"/>
      <c r="B515" s="151"/>
      <c r="C515" s="151"/>
      <c r="D515" s="151"/>
      <c r="E515" s="151"/>
      <c r="F515" s="15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</row>
    <row r="516" spans="1:24" ht="15.75" customHeight="1" x14ac:dyDescent="0.2">
      <c r="A516" s="151"/>
      <c r="B516" s="151"/>
      <c r="C516" s="151"/>
      <c r="D516" s="151"/>
      <c r="E516" s="151"/>
      <c r="F516" s="15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</row>
    <row r="517" spans="1:24" ht="15.75" customHeight="1" x14ac:dyDescent="0.2">
      <c r="A517" s="151"/>
      <c r="B517" s="151"/>
      <c r="C517" s="151"/>
      <c r="D517" s="151"/>
      <c r="E517" s="151"/>
      <c r="F517" s="15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</row>
    <row r="518" spans="1:24" ht="15.75" customHeight="1" x14ac:dyDescent="0.2">
      <c r="A518" s="151"/>
      <c r="B518" s="151"/>
      <c r="C518" s="151"/>
      <c r="D518" s="151"/>
      <c r="E518" s="151"/>
      <c r="F518" s="15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</row>
    <row r="519" spans="1:24" ht="15.75" customHeight="1" x14ac:dyDescent="0.2">
      <c r="A519" s="151"/>
      <c r="B519" s="151"/>
      <c r="C519" s="151"/>
      <c r="D519" s="151"/>
      <c r="E519" s="151"/>
      <c r="F519" s="15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</row>
    <row r="520" spans="1:24" ht="15.75" customHeight="1" x14ac:dyDescent="0.2">
      <c r="A520" s="151"/>
      <c r="B520" s="151"/>
      <c r="C520" s="151"/>
      <c r="D520" s="151"/>
      <c r="E520" s="151"/>
      <c r="F520" s="15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</row>
    <row r="521" spans="1:24" ht="15.75" customHeight="1" x14ac:dyDescent="0.2">
      <c r="A521" s="151"/>
      <c r="B521" s="151"/>
      <c r="C521" s="151"/>
      <c r="D521" s="151"/>
      <c r="E521" s="151"/>
      <c r="F521" s="15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</row>
    <row r="522" spans="1:24" ht="15.75" customHeight="1" x14ac:dyDescent="0.2">
      <c r="A522" s="151"/>
      <c r="B522" s="151"/>
      <c r="C522" s="151"/>
      <c r="D522" s="151"/>
      <c r="E522" s="151"/>
      <c r="F522" s="15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</row>
    <row r="523" spans="1:24" ht="15.75" customHeight="1" x14ac:dyDescent="0.2">
      <c r="A523" s="151"/>
      <c r="B523" s="151"/>
      <c r="C523" s="151"/>
      <c r="D523" s="151"/>
      <c r="E523" s="151"/>
      <c r="F523" s="15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</row>
    <row r="524" spans="1:24" ht="15.75" customHeight="1" x14ac:dyDescent="0.2">
      <c r="A524" s="151"/>
      <c r="B524" s="151"/>
      <c r="C524" s="151"/>
      <c r="D524" s="151"/>
      <c r="E524" s="151"/>
      <c r="F524" s="15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</row>
    <row r="525" spans="1:24" ht="15.75" customHeight="1" x14ac:dyDescent="0.2">
      <c r="A525" s="151"/>
      <c r="B525" s="151"/>
      <c r="C525" s="151"/>
      <c r="D525" s="151"/>
      <c r="E525" s="151"/>
      <c r="F525" s="15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</row>
    <row r="526" spans="1:24" ht="15.75" customHeight="1" x14ac:dyDescent="0.2">
      <c r="A526" s="151"/>
      <c r="B526" s="151"/>
      <c r="C526" s="151"/>
      <c r="D526" s="151"/>
      <c r="E526" s="151"/>
      <c r="F526" s="15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</row>
    <row r="527" spans="1:24" ht="15.75" customHeight="1" x14ac:dyDescent="0.2">
      <c r="A527" s="151"/>
      <c r="B527" s="151"/>
      <c r="C527" s="151"/>
      <c r="D527" s="151"/>
      <c r="E527" s="151"/>
      <c r="F527" s="15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</row>
    <row r="528" spans="1:24" ht="15.75" customHeight="1" x14ac:dyDescent="0.2">
      <c r="A528" s="151"/>
      <c r="B528" s="151"/>
      <c r="C528" s="151"/>
      <c r="D528" s="151"/>
      <c r="E528" s="151"/>
      <c r="F528" s="15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</row>
    <row r="529" spans="1:24" ht="15.75" customHeight="1" x14ac:dyDescent="0.2">
      <c r="A529" s="151"/>
      <c r="B529" s="151"/>
      <c r="C529" s="151"/>
      <c r="D529" s="151"/>
      <c r="E529" s="151"/>
      <c r="F529" s="15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</row>
    <row r="530" spans="1:24" ht="15.75" customHeight="1" x14ac:dyDescent="0.2">
      <c r="A530" s="151"/>
      <c r="B530" s="151"/>
      <c r="C530" s="151"/>
      <c r="D530" s="151"/>
      <c r="E530" s="151"/>
      <c r="F530" s="15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</row>
    <row r="531" spans="1:24" ht="15.75" customHeight="1" x14ac:dyDescent="0.2">
      <c r="A531" s="151"/>
      <c r="B531" s="151"/>
      <c r="C531" s="151"/>
      <c r="D531" s="151"/>
      <c r="E531" s="151"/>
      <c r="F531" s="15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</row>
    <row r="532" spans="1:24" ht="15.75" customHeight="1" x14ac:dyDescent="0.2">
      <c r="A532" s="151"/>
      <c r="B532" s="151"/>
      <c r="C532" s="151"/>
      <c r="D532" s="151"/>
      <c r="E532" s="151"/>
      <c r="F532" s="15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</row>
    <row r="533" spans="1:24" ht="15.75" customHeight="1" x14ac:dyDescent="0.2">
      <c r="A533" s="151"/>
      <c r="B533" s="151"/>
      <c r="C533" s="151"/>
      <c r="D533" s="151"/>
      <c r="E533" s="151"/>
      <c r="F533" s="15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</row>
    <row r="534" spans="1:24" ht="15.75" customHeight="1" x14ac:dyDescent="0.2">
      <c r="A534" s="151"/>
      <c r="B534" s="151"/>
      <c r="C534" s="151"/>
      <c r="D534" s="151"/>
      <c r="E534" s="151"/>
      <c r="F534" s="15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</row>
    <row r="535" spans="1:24" ht="15.75" customHeight="1" x14ac:dyDescent="0.2">
      <c r="A535" s="151"/>
      <c r="B535" s="151"/>
      <c r="C535" s="151"/>
      <c r="D535" s="151"/>
      <c r="E535" s="151"/>
      <c r="F535" s="15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</row>
    <row r="536" spans="1:24" ht="15.75" customHeight="1" x14ac:dyDescent="0.2">
      <c r="A536" s="151"/>
      <c r="B536" s="151"/>
      <c r="C536" s="151"/>
      <c r="D536" s="151"/>
      <c r="E536" s="151"/>
      <c r="F536" s="15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</row>
    <row r="537" spans="1:24" ht="15.75" customHeight="1" x14ac:dyDescent="0.2">
      <c r="A537" s="151"/>
      <c r="B537" s="151"/>
      <c r="C537" s="151"/>
      <c r="D537" s="151"/>
      <c r="E537" s="151"/>
      <c r="F537" s="15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</row>
    <row r="538" spans="1:24" ht="15.75" customHeight="1" x14ac:dyDescent="0.2">
      <c r="A538" s="151"/>
      <c r="B538" s="151"/>
      <c r="C538" s="151"/>
      <c r="D538" s="151"/>
      <c r="E538" s="151"/>
      <c r="F538" s="15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</row>
    <row r="539" spans="1:24" ht="15.75" customHeight="1" x14ac:dyDescent="0.2">
      <c r="A539" s="151"/>
      <c r="B539" s="151"/>
      <c r="C539" s="151"/>
      <c r="D539" s="151"/>
      <c r="E539" s="151"/>
      <c r="F539" s="15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</row>
    <row r="540" spans="1:24" ht="15.75" customHeight="1" x14ac:dyDescent="0.2">
      <c r="A540" s="151"/>
      <c r="B540" s="151"/>
      <c r="C540" s="151"/>
      <c r="D540" s="151"/>
      <c r="E540" s="151"/>
      <c r="F540" s="15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</row>
    <row r="541" spans="1:24" ht="15.75" customHeight="1" x14ac:dyDescent="0.2">
      <c r="A541" s="151"/>
      <c r="B541" s="151"/>
      <c r="C541" s="151"/>
      <c r="D541" s="151"/>
      <c r="E541" s="151"/>
      <c r="F541" s="15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</row>
    <row r="542" spans="1:24" ht="15.75" customHeight="1" x14ac:dyDescent="0.2">
      <c r="A542" s="151"/>
      <c r="B542" s="151"/>
      <c r="C542" s="151"/>
      <c r="D542" s="151"/>
      <c r="E542" s="151"/>
      <c r="F542" s="15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</row>
    <row r="543" spans="1:24" ht="15.75" customHeight="1" x14ac:dyDescent="0.2">
      <c r="A543" s="151"/>
      <c r="B543" s="151"/>
      <c r="C543" s="151"/>
      <c r="D543" s="151"/>
      <c r="E543" s="151"/>
      <c r="F543" s="15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</row>
    <row r="544" spans="1:24" ht="15.75" customHeight="1" x14ac:dyDescent="0.2">
      <c r="A544" s="151"/>
      <c r="B544" s="151"/>
      <c r="C544" s="151"/>
      <c r="D544" s="151"/>
      <c r="E544" s="151"/>
      <c r="F544" s="15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</row>
    <row r="545" spans="1:24" ht="15.75" customHeight="1" x14ac:dyDescent="0.2">
      <c r="A545" s="151"/>
      <c r="B545" s="151"/>
      <c r="C545" s="151"/>
      <c r="D545" s="151"/>
      <c r="E545" s="151"/>
      <c r="F545" s="15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</row>
    <row r="546" spans="1:24" ht="15.75" customHeight="1" x14ac:dyDescent="0.2">
      <c r="A546" s="151"/>
      <c r="B546" s="151"/>
      <c r="C546" s="151"/>
      <c r="D546" s="151"/>
      <c r="E546" s="151"/>
      <c r="F546" s="15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</row>
    <row r="547" spans="1:24" ht="15.75" customHeight="1" x14ac:dyDescent="0.2">
      <c r="A547" s="151"/>
      <c r="B547" s="151"/>
      <c r="C547" s="151"/>
      <c r="D547" s="151"/>
      <c r="E547" s="151"/>
      <c r="F547" s="15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</row>
    <row r="548" spans="1:24" ht="15.75" customHeight="1" x14ac:dyDescent="0.2">
      <c r="A548" s="151"/>
      <c r="B548" s="151"/>
      <c r="C548" s="151"/>
      <c r="D548" s="151"/>
      <c r="E548" s="151"/>
      <c r="F548" s="15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</row>
    <row r="549" spans="1:24" ht="15.75" customHeight="1" x14ac:dyDescent="0.2">
      <c r="A549" s="151"/>
      <c r="B549" s="151"/>
      <c r="C549" s="151"/>
      <c r="D549" s="151"/>
      <c r="E549" s="151"/>
      <c r="F549" s="15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</row>
    <row r="550" spans="1:24" ht="15.75" customHeight="1" x14ac:dyDescent="0.2">
      <c r="A550" s="151"/>
      <c r="B550" s="151"/>
      <c r="C550" s="151"/>
      <c r="D550" s="151"/>
      <c r="E550" s="151"/>
      <c r="F550" s="15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</row>
    <row r="551" spans="1:24" ht="15.75" customHeight="1" x14ac:dyDescent="0.2">
      <c r="A551" s="151"/>
      <c r="B551" s="151"/>
      <c r="C551" s="151"/>
      <c r="D551" s="151"/>
      <c r="E551" s="151"/>
      <c r="F551" s="15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</row>
    <row r="552" spans="1:24" ht="15.75" customHeight="1" x14ac:dyDescent="0.2">
      <c r="A552" s="151"/>
      <c r="B552" s="151"/>
      <c r="C552" s="151"/>
      <c r="D552" s="151"/>
      <c r="E552" s="151"/>
      <c r="F552" s="15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</row>
    <row r="553" spans="1:24" ht="15.75" customHeight="1" x14ac:dyDescent="0.2">
      <c r="A553" s="151"/>
      <c r="B553" s="151"/>
      <c r="C553" s="151"/>
      <c r="D553" s="151"/>
      <c r="E553" s="151"/>
      <c r="F553" s="15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</row>
    <row r="554" spans="1:24" ht="15.75" customHeight="1" x14ac:dyDescent="0.2">
      <c r="A554" s="151"/>
      <c r="B554" s="151"/>
      <c r="C554" s="151"/>
      <c r="D554" s="151"/>
      <c r="E554" s="151"/>
      <c r="F554" s="15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</row>
    <row r="555" spans="1:24" ht="15.75" customHeight="1" x14ac:dyDescent="0.2">
      <c r="A555" s="151"/>
      <c r="B555" s="151"/>
      <c r="C555" s="151"/>
      <c r="D555" s="151"/>
      <c r="E555" s="151"/>
      <c r="F555" s="15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</row>
    <row r="556" spans="1:24" ht="15.75" customHeight="1" x14ac:dyDescent="0.2">
      <c r="A556" s="151"/>
      <c r="B556" s="151"/>
      <c r="C556" s="151"/>
      <c r="D556" s="151"/>
      <c r="E556" s="151"/>
      <c r="F556" s="15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</row>
    <row r="557" spans="1:24" ht="15.75" customHeight="1" x14ac:dyDescent="0.2">
      <c r="A557" s="151"/>
      <c r="B557" s="151"/>
      <c r="C557" s="151"/>
      <c r="D557" s="151"/>
      <c r="E557" s="151"/>
      <c r="F557" s="15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</row>
    <row r="558" spans="1:24" ht="15.75" customHeight="1" x14ac:dyDescent="0.2">
      <c r="A558" s="151"/>
      <c r="B558" s="151"/>
      <c r="C558" s="151"/>
      <c r="D558" s="151"/>
      <c r="E558" s="151"/>
      <c r="F558" s="15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</row>
    <row r="559" spans="1:24" ht="15.75" customHeight="1" x14ac:dyDescent="0.2">
      <c r="A559" s="151"/>
      <c r="B559" s="151"/>
      <c r="C559" s="151"/>
      <c r="D559" s="151"/>
      <c r="E559" s="151"/>
      <c r="F559" s="15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</row>
    <row r="560" spans="1:24" ht="15.75" customHeight="1" x14ac:dyDescent="0.2">
      <c r="A560" s="151"/>
      <c r="B560" s="151"/>
      <c r="C560" s="151"/>
      <c r="D560" s="151"/>
      <c r="E560" s="151"/>
      <c r="F560" s="15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</row>
    <row r="561" spans="1:24" ht="15.75" customHeight="1" x14ac:dyDescent="0.2">
      <c r="A561" s="151"/>
      <c r="B561" s="151"/>
      <c r="C561" s="151"/>
      <c r="D561" s="151"/>
      <c r="E561" s="151"/>
      <c r="F561" s="15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</row>
    <row r="562" spans="1:24" ht="15.75" customHeight="1" x14ac:dyDescent="0.2">
      <c r="A562" s="151"/>
      <c r="B562" s="151"/>
      <c r="C562" s="151"/>
      <c r="D562" s="151"/>
      <c r="E562" s="151"/>
      <c r="F562" s="15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</row>
    <row r="563" spans="1:24" ht="15.75" customHeight="1" x14ac:dyDescent="0.2">
      <c r="A563" s="151"/>
      <c r="B563" s="151"/>
      <c r="C563" s="151"/>
      <c r="D563" s="151"/>
      <c r="E563" s="151"/>
      <c r="F563" s="15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</row>
    <row r="564" spans="1:24" ht="15.75" customHeight="1" x14ac:dyDescent="0.2">
      <c r="A564" s="151"/>
      <c r="B564" s="151"/>
      <c r="C564" s="151"/>
      <c r="D564" s="151"/>
      <c r="E564" s="151"/>
      <c r="F564" s="15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</row>
    <row r="565" spans="1:24" ht="15.75" customHeight="1" x14ac:dyDescent="0.2">
      <c r="A565" s="151"/>
      <c r="B565" s="151"/>
      <c r="C565" s="151"/>
      <c r="D565" s="151"/>
      <c r="E565" s="151"/>
      <c r="F565" s="15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</row>
    <row r="566" spans="1:24" ht="15.75" customHeight="1" x14ac:dyDescent="0.2">
      <c r="A566" s="151"/>
      <c r="B566" s="151"/>
      <c r="C566" s="151"/>
      <c r="D566" s="151"/>
      <c r="E566" s="151"/>
      <c r="F566" s="15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</row>
    <row r="567" spans="1:24" ht="15.75" customHeight="1" x14ac:dyDescent="0.2">
      <c r="A567" s="151"/>
      <c r="B567" s="151"/>
      <c r="C567" s="151"/>
      <c r="D567" s="151"/>
      <c r="E567" s="151"/>
      <c r="F567" s="15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</row>
    <row r="568" spans="1:24" ht="15.75" customHeight="1" x14ac:dyDescent="0.2">
      <c r="A568" s="151"/>
      <c r="B568" s="151"/>
      <c r="C568" s="151"/>
      <c r="D568" s="151"/>
      <c r="E568" s="151"/>
      <c r="F568" s="15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</row>
    <row r="569" spans="1:24" ht="15.75" customHeight="1" x14ac:dyDescent="0.2">
      <c r="A569" s="151"/>
      <c r="B569" s="151"/>
      <c r="C569" s="151"/>
      <c r="D569" s="151"/>
      <c r="E569" s="151"/>
      <c r="F569" s="15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</row>
    <row r="570" spans="1:24" ht="15.75" customHeight="1" x14ac:dyDescent="0.2">
      <c r="A570" s="151"/>
      <c r="B570" s="151"/>
      <c r="C570" s="151"/>
      <c r="D570" s="151"/>
      <c r="E570" s="151"/>
      <c r="F570" s="15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</row>
    <row r="571" spans="1:24" ht="15.75" customHeight="1" x14ac:dyDescent="0.2">
      <c r="A571" s="151"/>
      <c r="B571" s="151"/>
      <c r="C571" s="151"/>
      <c r="D571" s="151"/>
      <c r="E571" s="151"/>
      <c r="F571" s="15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</row>
    <row r="572" spans="1:24" ht="15.75" customHeight="1" x14ac:dyDescent="0.2">
      <c r="A572" s="151"/>
      <c r="B572" s="151"/>
      <c r="C572" s="151"/>
      <c r="D572" s="151"/>
      <c r="E572" s="151"/>
      <c r="F572" s="15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</row>
    <row r="573" spans="1:24" ht="15.75" customHeight="1" x14ac:dyDescent="0.2">
      <c r="A573" s="151"/>
      <c r="B573" s="151"/>
      <c r="C573" s="151"/>
      <c r="D573" s="151"/>
      <c r="E573" s="151"/>
      <c r="F573" s="15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</row>
    <row r="574" spans="1:24" ht="15.75" customHeight="1" x14ac:dyDescent="0.2">
      <c r="A574" s="151"/>
      <c r="B574" s="151"/>
      <c r="C574" s="151"/>
      <c r="D574" s="151"/>
      <c r="E574" s="151"/>
      <c r="F574" s="15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</row>
    <row r="575" spans="1:24" ht="15.75" customHeight="1" x14ac:dyDescent="0.2">
      <c r="A575" s="151"/>
      <c r="B575" s="151"/>
      <c r="C575" s="151"/>
      <c r="D575" s="151"/>
      <c r="E575" s="151"/>
      <c r="F575" s="15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</row>
    <row r="576" spans="1:24" ht="15.75" customHeight="1" x14ac:dyDescent="0.2">
      <c r="A576" s="151"/>
      <c r="B576" s="151"/>
      <c r="C576" s="151"/>
      <c r="D576" s="151"/>
      <c r="E576" s="151"/>
      <c r="F576" s="15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</row>
    <row r="577" spans="1:24" ht="15.75" customHeight="1" x14ac:dyDescent="0.2">
      <c r="A577" s="151"/>
      <c r="B577" s="151"/>
      <c r="C577" s="151"/>
      <c r="D577" s="151"/>
      <c r="E577" s="151"/>
      <c r="F577" s="15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</row>
    <row r="578" spans="1:24" ht="15.75" customHeight="1" x14ac:dyDescent="0.2">
      <c r="A578" s="151"/>
      <c r="B578" s="151"/>
      <c r="C578" s="151"/>
      <c r="D578" s="151"/>
      <c r="E578" s="151"/>
      <c r="F578" s="15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</row>
    <row r="579" spans="1:24" ht="15.75" customHeight="1" x14ac:dyDescent="0.2">
      <c r="A579" s="151"/>
      <c r="B579" s="151"/>
      <c r="C579" s="151"/>
      <c r="D579" s="151"/>
      <c r="E579" s="151"/>
      <c r="F579" s="15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</row>
    <row r="580" spans="1:24" ht="15.75" customHeight="1" x14ac:dyDescent="0.2">
      <c r="A580" s="151"/>
      <c r="B580" s="151"/>
      <c r="C580" s="151"/>
      <c r="D580" s="151"/>
      <c r="E580" s="151"/>
      <c r="F580" s="15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</row>
    <row r="581" spans="1:24" ht="15.75" customHeight="1" x14ac:dyDescent="0.2">
      <c r="A581" s="151"/>
      <c r="B581" s="151"/>
      <c r="C581" s="151"/>
      <c r="D581" s="151"/>
      <c r="E581" s="151"/>
      <c r="F581" s="15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</row>
    <row r="582" spans="1:24" ht="15.75" customHeight="1" x14ac:dyDescent="0.2">
      <c r="A582" s="151"/>
      <c r="B582" s="151"/>
      <c r="C582" s="151"/>
      <c r="D582" s="151"/>
      <c r="E582" s="151"/>
      <c r="F582" s="15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</row>
    <row r="583" spans="1:24" ht="15.75" customHeight="1" x14ac:dyDescent="0.2">
      <c r="A583" s="151"/>
      <c r="B583" s="151"/>
      <c r="C583" s="151"/>
      <c r="D583" s="151"/>
      <c r="E583" s="151"/>
      <c r="F583" s="15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</row>
    <row r="584" spans="1:24" ht="15.75" customHeight="1" x14ac:dyDescent="0.2">
      <c r="A584" s="151"/>
      <c r="B584" s="151"/>
      <c r="C584" s="151"/>
      <c r="D584" s="151"/>
      <c r="E584" s="151"/>
      <c r="F584" s="15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</row>
    <row r="585" spans="1:24" ht="15.75" customHeight="1" x14ac:dyDescent="0.2">
      <c r="A585" s="151"/>
      <c r="B585" s="151"/>
      <c r="C585" s="151"/>
      <c r="D585" s="151"/>
      <c r="E585" s="151"/>
      <c r="F585" s="15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</row>
    <row r="586" spans="1:24" ht="15.75" customHeight="1" x14ac:dyDescent="0.2">
      <c r="A586" s="151"/>
      <c r="B586" s="151"/>
      <c r="C586" s="151"/>
      <c r="D586" s="151"/>
      <c r="E586" s="151"/>
      <c r="F586" s="15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</row>
    <row r="587" spans="1:24" ht="15.75" customHeight="1" x14ac:dyDescent="0.2">
      <c r="A587" s="151"/>
      <c r="B587" s="151"/>
      <c r="C587" s="151"/>
      <c r="D587" s="151"/>
      <c r="E587" s="151"/>
      <c r="F587" s="15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</row>
    <row r="588" spans="1:24" ht="15.75" customHeight="1" x14ac:dyDescent="0.2">
      <c r="A588" s="151"/>
      <c r="B588" s="151"/>
      <c r="C588" s="151"/>
      <c r="D588" s="151"/>
      <c r="E588" s="151"/>
      <c r="F588" s="15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</row>
    <row r="589" spans="1:24" ht="15.75" customHeight="1" x14ac:dyDescent="0.2">
      <c r="A589" s="151"/>
      <c r="B589" s="151"/>
      <c r="C589" s="151"/>
      <c r="D589" s="151"/>
      <c r="E589" s="151"/>
      <c r="F589" s="15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</row>
    <row r="590" spans="1:24" ht="15.75" customHeight="1" x14ac:dyDescent="0.2">
      <c r="A590" s="151"/>
      <c r="B590" s="151"/>
      <c r="C590" s="151"/>
      <c r="D590" s="151"/>
      <c r="E590" s="151"/>
      <c r="F590" s="15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</row>
    <row r="591" spans="1:24" ht="15.75" customHeight="1" x14ac:dyDescent="0.2">
      <c r="A591" s="151"/>
      <c r="B591" s="151"/>
      <c r="C591" s="151"/>
      <c r="D591" s="151"/>
      <c r="E591" s="151"/>
      <c r="F591" s="15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</row>
    <row r="592" spans="1:24" ht="15.75" customHeight="1" x14ac:dyDescent="0.2">
      <c r="A592" s="151"/>
      <c r="B592" s="151"/>
      <c r="C592" s="151"/>
      <c r="D592" s="151"/>
      <c r="E592" s="151"/>
      <c r="F592" s="15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</row>
    <row r="593" spans="1:24" ht="15.75" customHeight="1" x14ac:dyDescent="0.2">
      <c r="A593" s="151"/>
      <c r="B593" s="151"/>
      <c r="C593" s="151"/>
      <c r="D593" s="151"/>
      <c r="E593" s="151"/>
      <c r="F593" s="15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</row>
    <row r="594" spans="1:24" ht="15.75" customHeight="1" x14ac:dyDescent="0.2">
      <c r="A594" s="151"/>
      <c r="B594" s="151"/>
      <c r="C594" s="151"/>
      <c r="D594" s="151"/>
      <c r="E594" s="151"/>
      <c r="F594" s="15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</row>
    <row r="595" spans="1:24" ht="15.75" customHeight="1" x14ac:dyDescent="0.2">
      <c r="A595" s="151"/>
      <c r="B595" s="151"/>
      <c r="C595" s="151"/>
      <c r="D595" s="151"/>
      <c r="E595" s="151"/>
      <c r="F595" s="15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</row>
    <row r="596" spans="1:24" ht="15.75" customHeight="1" x14ac:dyDescent="0.2">
      <c r="A596" s="151"/>
      <c r="B596" s="151"/>
      <c r="C596" s="151"/>
      <c r="D596" s="151"/>
      <c r="E596" s="151"/>
      <c r="F596" s="15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</row>
    <row r="597" spans="1:24" ht="15.75" customHeight="1" x14ac:dyDescent="0.2">
      <c r="A597" s="151"/>
      <c r="B597" s="151"/>
      <c r="C597" s="151"/>
      <c r="D597" s="151"/>
      <c r="E597" s="151"/>
      <c r="F597" s="15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</row>
    <row r="598" spans="1:24" ht="15.75" customHeight="1" x14ac:dyDescent="0.2">
      <c r="A598" s="151"/>
      <c r="B598" s="151"/>
      <c r="C598" s="151"/>
      <c r="D598" s="151"/>
      <c r="E598" s="151"/>
      <c r="F598" s="15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</row>
    <row r="599" spans="1:24" ht="15.75" customHeight="1" x14ac:dyDescent="0.2">
      <c r="A599" s="151"/>
      <c r="B599" s="151"/>
      <c r="C599" s="151"/>
      <c r="D599" s="151"/>
      <c r="E599" s="151"/>
      <c r="F599" s="15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</row>
    <row r="600" spans="1:24" ht="15.75" customHeight="1" x14ac:dyDescent="0.2">
      <c r="A600" s="151"/>
      <c r="B600" s="151"/>
      <c r="C600" s="151"/>
      <c r="D600" s="151"/>
      <c r="E600" s="151"/>
      <c r="F600" s="15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</row>
    <row r="601" spans="1:24" ht="15.75" customHeight="1" x14ac:dyDescent="0.2">
      <c r="A601" s="151"/>
      <c r="B601" s="151"/>
      <c r="C601" s="151"/>
      <c r="D601" s="151"/>
      <c r="E601" s="151"/>
      <c r="F601" s="15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</row>
    <row r="602" spans="1:24" ht="15.75" customHeight="1" x14ac:dyDescent="0.2">
      <c r="A602" s="151"/>
      <c r="B602" s="151"/>
      <c r="C602" s="151"/>
      <c r="D602" s="151"/>
      <c r="E602" s="151"/>
      <c r="F602" s="15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</row>
    <row r="603" spans="1:24" ht="15.75" customHeight="1" x14ac:dyDescent="0.2">
      <c r="A603" s="151"/>
      <c r="B603" s="151"/>
      <c r="C603" s="151"/>
      <c r="D603" s="151"/>
      <c r="E603" s="151"/>
      <c r="F603" s="15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</row>
    <row r="604" spans="1:24" ht="15.75" customHeight="1" x14ac:dyDescent="0.2">
      <c r="A604" s="151"/>
      <c r="B604" s="151"/>
      <c r="C604" s="151"/>
      <c r="D604" s="151"/>
      <c r="E604" s="151"/>
      <c r="F604" s="15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</row>
    <row r="605" spans="1:24" ht="15.75" customHeight="1" x14ac:dyDescent="0.2">
      <c r="A605" s="151"/>
      <c r="B605" s="151"/>
      <c r="C605" s="151"/>
      <c r="D605" s="151"/>
      <c r="E605" s="151"/>
      <c r="F605" s="15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</row>
    <row r="606" spans="1:24" ht="15.75" customHeight="1" x14ac:dyDescent="0.2">
      <c r="A606" s="151"/>
      <c r="B606" s="151"/>
      <c r="C606" s="151"/>
      <c r="D606" s="151"/>
      <c r="E606" s="151"/>
      <c r="F606" s="15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</row>
    <row r="607" spans="1:24" ht="15.75" customHeight="1" x14ac:dyDescent="0.2">
      <c r="A607" s="151"/>
      <c r="B607" s="151"/>
      <c r="C607" s="151"/>
      <c r="D607" s="151"/>
      <c r="E607" s="151"/>
      <c r="F607" s="15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</row>
    <row r="608" spans="1:24" ht="15.75" customHeight="1" x14ac:dyDescent="0.2">
      <c r="A608" s="151"/>
      <c r="B608" s="151"/>
      <c r="C608" s="151"/>
      <c r="D608" s="151"/>
      <c r="E608" s="151"/>
      <c r="F608" s="15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</row>
    <row r="609" spans="1:24" ht="15.75" customHeight="1" x14ac:dyDescent="0.2">
      <c r="A609" s="151"/>
      <c r="B609" s="151"/>
      <c r="C609" s="151"/>
      <c r="D609" s="151"/>
      <c r="E609" s="151"/>
      <c r="F609" s="15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</row>
    <row r="610" spans="1:24" ht="15.75" customHeight="1" x14ac:dyDescent="0.2">
      <c r="A610" s="151"/>
      <c r="B610" s="151"/>
      <c r="C610" s="151"/>
      <c r="D610" s="151"/>
      <c r="E610" s="151"/>
      <c r="F610" s="15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</row>
    <row r="611" spans="1:24" ht="15.75" customHeight="1" x14ac:dyDescent="0.2">
      <c r="A611" s="151"/>
      <c r="B611" s="151"/>
      <c r="C611" s="151"/>
      <c r="D611" s="151"/>
      <c r="E611" s="151"/>
      <c r="F611" s="15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</row>
    <row r="612" spans="1:24" ht="15.75" customHeight="1" x14ac:dyDescent="0.2">
      <c r="A612" s="151"/>
      <c r="B612" s="151"/>
      <c r="C612" s="151"/>
      <c r="D612" s="151"/>
      <c r="E612" s="151"/>
      <c r="F612" s="15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</row>
    <row r="613" spans="1:24" ht="15.75" customHeight="1" x14ac:dyDescent="0.2">
      <c r="A613" s="151"/>
      <c r="B613" s="151"/>
      <c r="C613" s="151"/>
      <c r="D613" s="151"/>
      <c r="E613" s="151"/>
      <c r="F613" s="15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</row>
    <row r="614" spans="1:24" ht="15.75" customHeight="1" x14ac:dyDescent="0.2">
      <c r="A614" s="151"/>
      <c r="B614" s="151"/>
      <c r="C614" s="151"/>
      <c r="D614" s="151"/>
      <c r="E614" s="151"/>
      <c r="F614" s="15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</row>
    <row r="615" spans="1:24" ht="15.75" customHeight="1" x14ac:dyDescent="0.2">
      <c r="A615" s="151"/>
      <c r="B615" s="151"/>
      <c r="C615" s="151"/>
      <c r="D615" s="151"/>
      <c r="E615" s="151"/>
      <c r="F615" s="15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</row>
    <row r="616" spans="1:24" ht="15.75" customHeight="1" x14ac:dyDescent="0.2">
      <c r="A616" s="151"/>
      <c r="B616" s="151"/>
      <c r="C616" s="151"/>
      <c r="D616" s="151"/>
      <c r="E616" s="151"/>
      <c r="F616" s="15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</row>
    <row r="617" spans="1:24" ht="15.75" customHeight="1" x14ac:dyDescent="0.2">
      <c r="A617" s="151"/>
      <c r="B617" s="151"/>
      <c r="C617" s="151"/>
      <c r="D617" s="151"/>
      <c r="E617" s="151"/>
      <c r="F617" s="15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</row>
    <row r="618" spans="1:24" ht="15.75" customHeight="1" x14ac:dyDescent="0.2">
      <c r="A618" s="151"/>
      <c r="B618" s="151"/>
      <c r="C618" s="151"/>
      <c r="D618" s="151"/>
      <c r="E618" s="151"/>
      <c r="F618" s="15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</row>
    <row r="619" spans="1:24" ht="15.75" customHeight="1" x14ac:dyDescent="0.2">
      <c r="A619" s="151"/>
      <c r="B619" s="151"/>
      <c r="C619" s="151"/>
      <c r="D619" s="151"/>
      <c r="E619" s="151"/>
      <c r="F619" s="15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</row>
    <row r="620" spans="1:24" ht="15.75" customHeight="1" x14ac:dyDescent="0.2">
      <c r="A620" s="151"/>
      <c r="B620" s="151"/>
      <c r="C620" s="151"/>
      <c r="D620" s="151"/>
      <c r="E620" s="151"/>
      <c r="F620" s="15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</row>
    <row r="621" spans="1:24" ht="15.75" customHeight="1" x14ac:dyDescent="0.2">
      <c r="A621" s="151"/>
      <c r="B621" s="151"/>
      <c r="C621" s="151"/>
      <c r="D621" s="151"/>
      <c r="E621" s="151"/>
      <c r="F621" s="15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</row>
    <row r="622" spans="1:24" ht="15.75" customHeight="1" x14ac:dyDescent="0.2">
      <c r="A622" s="151"/>
      <c r="B622" s="151"/>
      <c r="C622" s="151"/>
      <c r="D622" s="151"/>
      <c r="E622" s="151"/>
      <c r="F622" s="15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</row>
    <row r="623" spans="1:24" ht="15.75" customHeight="1" x14ac:dyDescent="0.2">
      <c r="A623" s="151"/>
      <c r="B623" s="151"/>
      <c r="C623" s="151"/>
      <c r="D623" s="151"/>
      <c r="E623" s="151"/>
      <c r="F623" s="15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</row>
    <row r="624" spans="1:24" ht="15.75" customHeight="1" x14ac:dyDescent="0.2">
      <c r="A624" s="151"/>
      <c r="B624" s="151"/>
      <c r="C624" s="151"/>
      <c r="D624" s="151"/>
      <c r="E624" s="151"/>
      <c r="F624" s="15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</row>
    <row r="625" spans="1:24" ht="15.75" customHeight="1" x14ac:dyDescent="0.2">
      <c r="A625" s="151"/>
      <c r="B625" s="151"/>
      <c r="C625" s="151"/>
      <c r="D625" s="151"/>
      <c r="E625" s="151"/>
      <c r="F625" s="15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</row>
    <row r="626" spans="1:24" ht="15.75" customHeight="1" x14ac:dyDescent="0.2">
      <c r="A626" s="151"/>
      <c r="B626" s="151"/>
      <c r="C626" s="151"/>
      <c r="D626" s="151"/>
      <c r="E626" s="151"/>
      <c r="F626" s="15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</row>
    <row r="627" spans="1:24" ht="15.75" customHeight="1" x14ac:dyDescent="0.2">
      <c r="A627" s="151"/>
      <c r="B627" s="151"/>
      <c r="C627" s="151"/>
      <c r="D627" s="151"/>
      <c r="E627" s="151"/>
      <c r="F627" s="15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</row>
    <row r="628" spans="1:24" ht="15.75" customHeight="1" x14ac:dyDescent="0.2">
      <c r="A628" s="151"/>
      <c r="B628" s="151"/>
      <c r="C628" s="151"/>
      <c r="D628" s="151"/>
      <c r="E628" s="151"/>
      <c r="F628" s="15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</row>
    <row r="629" spans="1:24" ht="15.75" customHeight="1" x14ac:dyDescent="0.2">
      <c r="A629" s="151"/>
      <c r="B629" s="151"/>
      <c r="C629" s="151"/>
      <c r="D629" s="151"/>
      <c r="E629" s="151"/>
      <c r="F629" s="15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</row>
    <row r="630" spans="1:24" ht="15.75" customHeight="1" x14ac:dyDescent="0.2">
      <c r="A630" s="151"/>
      <c r="B630" s="151"/>
      <c r="C630" s="151"/>
      <c r="D630" s="151"/>
      <c r="E630" s="151"/>
      <c r="F630" s="15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</row>
    <row r="631" spans="1:24" ht="15.75" customHeight="1" x14ac:dyDescent="0.2">
      <c r="A631" s="151"/>
      <c r="B631" s="151"/>
      <c r="C631" s="151"/>
      <c r="D631" s="151"/>
      <c r="E631" s="151"/>
      <c r="F631" s="15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</row>
    <row r="632" spans="1:24" ht="15.75" customHeight="1" x14ac:dyDescent="0.2">
      <c r="A632" s="151"/>
      <c r="B632" s="151"/>
      <c r="C632" s="151"/>
      <c r="D632" s="151"/>
      <c r="E632" s="151"/>
      <c r="F632" s="15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</row>
    <row r="633" spans="1:24" ht="15.75" customHeight="1" x14ac:dyDescent="0.2">
      <c r="A633" s="151"/>
      <c r="B633" s="151"/>
      <c r="C633" s="151"/>
      <c r="D633" s="151"/>
      <c r="E633" s="151"/>
      <c r="F633" s="15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</row>
    <row r="634" spans="1:24" ht="15.75" customHeight="1" x14ac:dyDescent="0.2">
      <c r="A634" s="151"/>
      <c r="B634" s="151"/>
      <c r="C634" s="151"/>
      <c r="D634" s="151"/>
      <c r="E634" s="151"/>
      <c r="F634" s="15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</row>
    <row r="635" spans="1:24" ht="15.75" customHeight="1" x14ac:dyDescent="0.2">
      <c r="A635" s="151"/>
      <c r="B635" s="151"/>
      <c r="C635" s="151"/>
      <c r="D635" s="151"/>
      <c r="E635" s="151"/>
      <c r="F635" s="15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</row>
    <row r="636" spans="1:24" ht="15.75" customHeight="1" x14ac:dyDescent="0.2">
      <c r="A636" s="151"/>
      <c r="B636" s="151"/>
      <c r="C636" s="151"/>
      <c r="D636" s="151"/>
      <c r="E636" s="151"/>
      <c r="F636" s="15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</row>
    <row r="637" spans="1:24" ht="15.75" customHeight="1" x14ac:dyDescent="0.2">
      <c r="A637" s="151"/>
      <c r="B637" s="151"/>
      <c r="C637" s="151"/>
      <c r="D637" s="151"/>
      <c r="E637" s="151"/>
      <c r="F637" s="15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</row>
    <row r="638" spans="1:24" ht="15.75" customHeight="1" x14ac:dyDescent="0.2">
      <c r="A638" s="151"/>
      <c r="B638" s="151"/>
      <c r="C638" s="151"/>
      <c r="D638" s="151"/>
      <c r="E638" s="151"/>
      <c r="F638" s="15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</row>
    <row r="639" spans="1:24" ht="15.75" customHeight="1" x14ac:dyDescent="0.2">
      <c r="A639" s="151"/>
      <c r="B639" s="151"/>
      <c r="C639" s="151"/>
      <c r="D639" s="151"/>
      <c r="E639" s="151"/>
      <c r="F639" s="15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</row>
    <row r="640" spans="1:24" ht="15.75" customHeight="1" x14ac:dyDescent="0.2">
      <c r="A640" s="151"/>
      <c r="B640" s="151"/>
      <c r="C640" s="151"/>
      <c r="D640" s="151"/>
      <c r="E640" s="151"/>
      <c r="F640" s="15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</row>
    <row r="641" spans="1:24" ht="15.75" customHeight="1" x14ac:dyDescent="0.2">
      <c r="A641" s="151"/>
      <c r="B641" s="151"/>
      <c r="C641" s="151"/>
      <c r="D641" s="151"/>
      <c r="E641" s="151"/>
      <c r="F641" s="15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</row>
    <row r="642" spans="1:24" ht="15.75" customHeight="1" x14ac:dyDescent="0.2">
      <c r="A642" s="151"/>
      <c r="B642" s="151"/>
      <c r="C642" s="151"/>
      <c r="D642" s="151"/>
      <c r="E642" s="151"/>
      <c r="F642" s="15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</row>
    <row r="643" spans="1:24" ht="15.75" customHeight="1" x14ac:dyDescent="0.2">
      <c r="A643" s="151"/>
      <c r="B643" s="151"/>
      <c r="C643" s="151"/>
      <c r="D643" s="151"/>
      <c r="E643" s="151"/>
      <c r="F643" s="15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</row>
    <row r="644" spans="1:24" ht="15.75" customHeight="1" x14ac:dyDescent="0.2">
      <c r="A644" s="151"/>
      <c r="B644" s="151"/>
      <c r="C644" s="151"/>
      <c r="D644" s="151"/>
      <c r="E644" s="151"/>
      <c r="F644" s="15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</row>
    <row r="645" spans="1:24" ht="15.75" customHeight="1" x14ac:dyDescent="0.2">
      <c r="A645" s="151"/>
      <c r="B645" s="151"/>
      <c r="C645" s="151"/>
      <c r="D645" s="151"/>
      <c r="E645" s="151"/>
      <c r="F645" s="15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</row>
    <row r="646" spans="1:24" ht="15.75" customHeight="1" x14ac:dyDescent="0.2">
      <c r="A646" s="151"/>
      <c r="B646" s="151"/>
      <c r="C646" s="151"/>
      <c r="D646" s="151"/>
      <c r="E646" s="151"/>
      <c r="F646" s="15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</row>
    <row r="647" spans="1:24" ht="15.75" customHeight="1" x14ac:dyDescent="0.2">
      <c r="A647" s="151"/>
      <c r="B647" s="151"/>
      <c r="C647" s="151"/>
      <c r="D647" s="151"/>
      <c r="E647" s="151"/>
      <c r="F647" s="15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</row>
    <row r="648" spans="1:24" ht="15.75" customHeight="1" x14ac:dyDescent="0.2">
      <c r="A648" s="151"/>
      <c r="B648" s="151"/>
      <c r="C648" s="151"/>
      <c r="D648" s="151"/>
      <c r="E648" s="151"/>
      <c r="F648" s="15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</row>
    <row r="649" spans="1:24" ht="15.75" customHeight="1" x14ac:dyDescent="0.2">
      <c r="A649" s="151"/>
      <c r="B649" s="151"/>
      <c r="C649" s="151"/>
      <c r="D649" s="151"/>
      <c r="E649" s="151"/>
      <c r="F649" s="15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</row>
    <row r="650" spans="1:24" ht="15.75" customHeight="1" x14ac:dyDescent="0.2">
      <c r="A650" s="151"/>
      <c r="B650" s="151"/>
      <c r="C650" s="151"/>
      <c r="D650" s="151"/>
      <c r="E650" s="151"/>
      <c r="F650" s="15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</row>
    <row r="651" spans="1:24" ht="15.75" customHeight="1" x14ac:dyDescent="0.2">
      <c r="A651" s="151"/>
      <c r="B651" s="151"/>
      <c r="C651" s="151"/>
      <c r="D651" s="151"/>
      <c r="E651" s="151"/>
      <c r="F651" s="15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</row>
    <row r="652" spans="1:24" ht="15.75" customHeight="1" x14ac:dyDescent="0.2">
      <c r="A652" s="151"/>
      <c r="B652" s="151"/>
      <c r="C652" s="151"/>
      <c r="D652" s="151"/>
      <c r="E652" s="151"/>
      <c r="F652" s="15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</row>
    <row r="653" spans="1:24" ht="15.75" customHeight="1" x14ac:dyDescent="0.2">
      <c r="A653" s="151"/>
      <c r="B653" s="151"/>
      <c r="C653" s="151"/>
      <c r="D653" s="151"/>
      <c r="E653" s="151"/>
      <c r="F653" s="15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</row>
    <row r="654" spans="1:24" ht="15.75" customHeight="1" x14ac:dyDescent="0.2">
      <c r="A654" s="151"/>
      <c r="B654" s="151"/>
      <c r="C654" s="151"/>
      <c r="D654" s="151"/>
      <c r="E654" s="151"/>
      <c r="F654" s="15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</row>
    <row r="655" spans="1:24" ht="15.75" customHeight="1" x14ac:dyDescent="0.2">
      <c r="A655" s="151"/>
      <c r="B655" s="151"/>
      <c r="C655" s="151"/>
      <c r="D655" s="151"/>
      <c r="E655" s="151"/>
      <c r="F655" s="15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</row>
    <row r="656" spans="1:24" ht="15.75" customHeight="1" x14ac:dyDescent="0.2">
      <c r="A656" s="151"/>
      <c r="B656" s="151"/>
      <c r="C656" s="151"/>
      <c r="D656" s="151"/>
      <c r="E656" s="151"/>
      <c r="F656" s="15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</row>
    <row r="657" spans="1:24" ht="15.75" customHeight="1" x14ac:dyDescent="0.2">
      <c r="A657" s="151"/>
      <c r="B657" s="151"/>
      <c r="C657" s="151"/>
      <c r="D657" s="151"/>
      <c r="E657" s="151"/>
      <c r="F657" s="15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</row>
    <row r="658" spans="1:24" ht="15.75" customHeight="1" x14ac:dyDescent="0.2">
      <c r="A658" s="151"/>
      <c r="B658" s="151"/>
      <c r="C658" s="151"/>
      <c r="D658" s="151"/>
      <c r="E658" s="151"/>
      <c r="F658" s="15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</row>
    <row r="659" spans="1:24" ht="15.75" customHeight="1" x14ac:dyDescent="0.2">
      <c r="A659" s="151"/>
      <c r="B659" s="151"/>
      <c r="C659" s="151"/>
      <c r="D659" s="151"/>
      <c r="E659" s="151"/>
      <c r="F659" s="15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</row>
    <row r="660" spans="1:24" ht="15.75" customHeight="1" x14ac:dyDescent="0.2">
      <c r="A660" s="151"/>
      <c r="B660" s="151"/>
      <c r="C660" s="151"/>
      <c r="D660" s="151"/>
      <c r="E660" s="151"/>
      <c r="F660" s="15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</row>
    <row r="661" spans="1:24" ht="15.75" customHeight="1" x14ac:dyDescent="0.2">
      <c r="A661" s="151"/>
      <c r="B661" s="151"/>
      <c r="C661" s="151"/>
      <c r="D661" s="151"/>
      <c r="E661" s="151"/>
      <c r="F661" s="15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</row>
    <row r="662" spans="1:24" ht="15.75" customHeight="1" x14ac:dyDescent="0.2">
      <c r="A662" s="151"/>
      <c r="B662" s="151"/>
      <c r="C662" s="151"/>
      <c r="D662" s="151"/>
      <c r="E662" s="151"/>
      <c r="F662" s="15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</row>
    <row r="663" spans="1:24" ht="15.75" customHeight="1" x14ac:dyDescent="0.2">
      <c r="A663" s="151"/>
      <c r="B663" s="151"/>
      <c r="C663" s="151"/>
      <c r="D663" s="151"/>
      <c r="E663" s="151"/>
      <c r="F663" s="15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</row>
    <row r="664" spans="1:24" ht="15.75" customHeight="1" x14ac:dyDescent="0.2">
      <c r="A664" s="151"/>
      <c r="B664" s="151"/>
      <c r="C664" s="151"/>
      <c r="D664" s="151"/>
      <c r="E664" s="151"/>
      <c r="F664" s="15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</row>
    <row r="665" spans="1:24" ht="15.75" customHeight="1" x14ac:dyDescent="0.2">
      <c r="A665" s="151"/>
      <c r="B665" s="151"/>
      <c r="C665" s="151"/>
      <c r="D665" s="151"/>
      <c r="E665" s="151"/>
      <c r="F665" s="15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</row>
    <row r="666" spans="1:24" ht="15.75" customHeight="1" x14ac:dyDescent="0.2">
      <c r="A666" s="151"/>
      <c r="B666" s="151"/>
      <c r="C666" s="151"/>
      <c r="D666" s="151"/>
      <c r="E666" s="151"/>
      <c r="F666" s="15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</row>
    <row r="667" spans="1:24" ht="15.75" customHeight="1" x14ac:dyDescent="0.2">
      <c r="A667" s="151"/>
      <c r="B667" s="151"/>
      <c r="C667" s="151"/>
      <c r="D667" s="151"/>
      <c r="E667" s="151"/>
      <c r="F667" s="15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</row>
    <row r="668" spans="1:24" ht="15.75" customHeight="1" x14ac:dyDescent="0.2">
      <c r="A668" s="151"/>
      <c r="B668" s="151"/>
      <c r="C668" s="151"/>
      <c r="D668" s="151"/>
      <c r="E668" s="151"/>
      <c r="F668" s="15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</row>
    <row r="669" spans="1:24" ht="15.75" customHeight="1" x14ac:dyDescent="0.2">
      <c r="A669" s="151"/>
      <c r="B669" s="151"/>
      <c r="C669" s="151"/>
      <c r="D669" s="151"/>
      <c r="E669" s="151"/>
      <c r="F669" s="15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</row>
    <row r="670" spans="1:24" ht="15.75" customHeight="1" x14ac:dyDescent="0.2">
      <c r="A670" s="151"/>
      <c r="B670" s="151"/>
      <c r="C670" s="151"/>
      <c r="D670" s="151"/>
      <c r="E670" s="151"/>
      <c r="F670" s="15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</row>
    <row r="671" spans="1:24" ht="15.75" customHeight="1" x14ac:dyDescent="0.2">
      <c r="A671" s="151"/>
      <c r="B671" s="151"/>
      <c r="C671" s="151"/>
      <c r="D671" s="151"/>
      <c r="E671" s="151"/>
      <c r="F671" s="15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</row>
    <row r="672" spans="1:24" ht="15.75" customHeight="1" x14ac:dyDescent="0.2">
      <c r="A672" s="151"/>
      <c r="B672" s="151"/>
      <c r="C672" s="151"/>
      <c r="D672" s="151"/>
      <c r="E672" s="151"/>
      <c r="F672" s="15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</row>
    <row r="673" spans="1:24" ht="15.75" customHeight="1" x14ac:dyDescent="0.2">
      <c r="A673" s="151"/>
      <c r="B673" s="151"/>
      <c r="C673" s="151"/>
      <c r="D673" s="151"/>
      <c r="E673" s="151"/>
      <c r="F673" s="15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</row>
    <row r="674" spans="1:24" ht="15.75" customHeight="1" x14ac:dyDescent="0.2">
      <c r="A674" s="151"/>
      <c r="B674" s="151"/>
      <c r="C674" s="151"/>
      <c r="D674" s="151"/>
      <c r="E674" s="151"/>
      <c r="F674" s="15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</row>
    <row r="675" spans="1:24" ht="15.75" customHeight="1" x14ac:dyDescent="0.2">
      <c r="A675" s="151"/>
      <c r="B675" s="151"/>
      <c r="C675" s="151"/>
      <c r="D675" s="151"/>
      <c r="E675" s="151"/>
      <c r="F675" s="15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</row>
    <row r="676" spans="1:24" ht="15.75" customHeight="1" x14ac:dyDescent="0.2">
      <c r="A676" s="151"/>
      <c r="B676" s="151"/>
      <c r="C676" s="151"/>
      <c r="D676" s="151"/>
      <c r="E676" s="151"/>
      <c r="F676" s="15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</row>
    <row r="677" spans="1:24" ht="15.75" customHeight="1" x14ac:dyDescent="0.2">
      <c r="A677" s="151"/>
      <c r="B677" s="151"/>
      <c r="C677" s="151"/>
      <c r="D677" s="151"/>
      <c r="E677" s="151"/>
      <c r="F677" s="15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</row>
    <row r="678" spans="1:24" ht="15.75" customHeight="1" x14ac:dyDescent="0.2">
      <c r="A678" s="151"/>
      <c r="B678" s="151"/>
      <c r="C678" s="151"/>
      <c r="D678" s="151"/>
      <c r="E678" s="151"/>
      <c r="F678" s="15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</row>
    <row r="679" spans="1:24" ht="15.75" customHeight="1" x14ac:dyDescent="0.2">
      <c r="A679" s="151"/>
      <c r="B679" s="151"/>
      <c r="C679" s="151"/>
      <c r="D679" s="151"/>
      <c r="E679" s="151"/>
      <c r="F679" s="15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</row>
    <row r="680" spans="1:24" ht="15.75" customHeight="1" x14ac:dyDescent="0.2">
      <c r="A680" s="151"/>
      <c r="B680" s="151"/>
      <c r="C680" s="151"/>
      <c r="D680" s="151"/>
      <c r="E680" s="151"/>
      <c r="F680" s="15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</row>
    <row r="681" spans="1:24" ht="15.75" customHeight="1" x14ac:dyDescent="0.2">
      <c r="A681" s="151"/>
      <c r="B681" s="151"/>
      <c r="C681" s="151"/>
      <c r="D681" s="151"/>
      <c r="E681" s="151"/>
      <c r="F681" s="15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</row>
    <row r="682" spans="1:24" ht="15.75" customHeight="1" x14ac:dyDescent="0.2">
      <c r="A682" s="151"/>
      <c r="B682" s="151"/>
      <c r="C682" s="151"/>
      <c r="D682" s="151"/>
      <c r="E682" s="151"/>
      <c r="F682" s="15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</row>
    <row r="683" spans="1:24" ht="15.75" customHeight="1" x14ac:dyDescent="0.2">
      <c r="A683" s="151"/>
      <c r="B683" s="151"/>
      <c r="C683" s="151"/>
      <c r="D683" s="151"/>
      <c r="E683" s="151"/>
      <c r="F683" s="15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</row>
    <row r="684" spans="1:24" ht="15.75" customHeight="1" x14ac:dyDescent="0.2">
      <c r="A684" s="151"/>
      <c r="B684" s="151"/>
      <c r="C684" s="151"/>
      <c r="D684" s="151"/>
      <c r="E684" s="151"/>
      <c r="F684" s="15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</row>
    <row r="685" spans="1:24" ht="15.75" customHeight="1" x14ac:dyDescent="0.2">
      <c r="A685" s="151"/>
      <c r="B685" s="151"/>
      <c r="C685" s="151"/>
      <c r="D685" s="151"/>
      <c r="E685" s="151"/>
      <c r="F685" s="15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</row>
    <row r="686" spans="1:24" ht="15.75" customHeight="1" x14ac:dyDescent="0.2">
      <c r="A686" s="151"/>
      <c r="B686" s="151"/>
      <c r="C686" s="151"/>
      <c r="D686" s="151"/>
      <c r="E686" s="151"/>
      <c r="F686" s="15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</row>
    <row r="687" spans="1:24" ht="15.75" customHeight="1" x14ac:dyDescent="0.2">
      <c r="A687" s="151"/>
      <c r="B687" s="151"/>
      <c r="C687" s="151"/>
      <c r="D687" s="151"/>
      <c r="E687" s="151"/>
      <c r="F687" s="15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</row>
    <row r="688" spans="1:24" ht="15.75" customHeight="1" x14ac:dyDescent="0.2">
      <c r="A688" s="151"/>
      <c r="B688" s="151"/>
      <c r="C688" s="151"/>
      <c r="D688" s="151"/>
      <c r="E688" s="151"/>
      <c r="F688" s="15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</row>
    <row r="689" spans="1:24" ht="15.75" customHeight="1" x14ac:dyDescent="0.2">
      <c r="A689" s="151"/>
      <c r="B689" s="151"/>
      <c r="C689" s="151"/>
      <c r="D689" s="151"/>
      <c r="E689" s="151"/>
      <c r="F689" s="15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</row>
    <row r="690" spans="1:24" ht="15.75" customHeight="1" x14ac:dyDescent="0.2">
      <c r="A690" s="151"/>
      <c r="B690" s="151"/>
      <c r="C690" s="151"/>
      <c r="D690" s="151"/>
      <c r="E690" s="151"/>
      <c r="F690" s="15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</row>
    <row r="691" spans="1:24" ht="15.75" customHeight="1" x14ac:dyDescent="0.2">
      <c r="A691" s="151"/>
      <c r="B691" s="151"/>
      <c r="C691" s="151"/>
      <c r="D691" s="151"/>
      <c r="E691" s="151"/>
      <c r="F691" s="15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</row>
    <row r="692" spans="1:24" ht="15.75" customHeight="1" x14ac:dyDescent="0.2">
      <c r="A692" s="151"/>
      <c r="B692" s="151"/>
      <c r="C692" s="151"/>
      <c r="D692" s="151"/>
      <c r="E692" s="151"/>
      <c r="F692" s="15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</row>
    <row r="693" spans="1:24" ht="15.75" customHeight="1" x14ac:dyDescent="0.2">
      <c r="A693" s="151"/>
      <c r="B693" s="151"/>
      <c r="C693" s="151"/>
      <c r="D693" s="151"/>
      <c r="E693" s="151"/>
      <c r="F693" s="15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</row>
    <row r="694" spans="1:24" ht="15.75" customHeight="1" x14ac:dyDescent="0.2">
      <c r="A694" s="151"/>
      <c r="B694" s="151"/>
      <c r="C694" s="151"/>
      <c r="D694" s="151"/>
      <c r="E694" s="151"/>
      <c r="F694" s="15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</row>
    <row r="695" spans="1:24" ht="15.75" customHeight="1" x14ac:dyDescent="0.2">
      <c r="A695" s="151"/>
      <c r="B695" s="151"/>
      <c r="C695" s="151"/>
      <c r="D695" s="151"/>
      <c r="E695" s="151"/>
      <c r="F695" s="15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</row>
    <row r="696" spans="1:24" ht="15.75" customHeight="1" x14ac:dyDescent="0.2">
      <c r="A696" s="151"/>
      <c r="B696" s="151"/>
      <c r="C696" s="151"/>
      <c r="D696" s="151"/>
      <c r="E696" s="151"/>
      <c r="F696" s="15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</row>
    <row r="697" spans="1:24" ht="15.75" customHeight="1" x14ac:dyDescent="0.2">
      <c r="A697" s="151"/>
      <c r="B697" s="151"/>
      <c r="C697" s="151"/>
      <c r="D697" s="151"/>
      <c r="E697" s="151"/>
      <c r="F697" s="15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</row>
    <row r="698" spans="1:24" ht="15.75" customHeight="1" x14ac:dyDescent="0.2">
      <c r="A698" s="151"/>
      <c r="B698" s="151"/>
      <c r="C698" s="151"/>
      <c r="D698" s="151"/>
      <c r="E698" s="151"/>
      <c r="F698" s="15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</row>
    <row r="699" spans="1:24" ht="15.75" customHeight="1" x14ac:dyDescent="0.2">
      <c r="A699" s="151"/>
      <c r="B699" s="151"/>
      <c r="C699" s="151"/>
      <c r="D699" s="151"/>
      <c r="E699" s="151"/>
      <c r="F699" s="15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</row>
    <row r="700" spans="1:24" ht="15.75" customHeight="1" x14ac:dyDescent="0.2">
      <c r="A700" s="151"/>
      <c r="B700" s="151"/>
      <c r="C700" s="151"/>
      <c r="D700" s="151"/>
      <c r="E700" s="151"/>
      <c r="F700" s="15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</row>
    <row r="701" spans="1:24" ht="15.75" customHeight="1" x14ac:dyDescent="0.2">
      <c r="A701" s="151"/>
      <c r="B701" s="151"/>
      <c r="C701" s="151"/>
      <c r="D701" s="151"/>
      <c r="E701" s="151"/>
      <c r="F701" s="15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</row>
    <row r="702" spans="1:24" ht="15.75" customHeight="1" x14ac:dyDescent="0.2">
      <c r="A702" s="151"/>
      <c r="B702" s="151"/>
      <c r="C702" s="151"/>
      <c r="D702" s="151"/>
      <c r="E702" s="151"/>
      <c r="F702" s="15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</row>
    <row r="703" spans="1:24" ht="15.75" customHeight="1" x14ac:dyDescent="0.2">
      <c r="A703" s="151"/>
      <c r="B703" s="151"/>
      <c r="C703" s="151"/>
      <c r="D703" s="151"/>
      <c r="E703" s="151"/>
      <c r="F703" s="15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</row>
    <row r="704" spans="1:24" ht="15.75" customHeight="1" x14ac:dyDescent="0.2">
      <c r="A704" s="151"/>
      <c r="B704" s="151"/>
      <c r="C704" s="151"/>
      <c r="D704" s="151"/>
      <c r="E704" s="151"/>
      <c r="F704" s="15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</row>
    <row r="705" spans="1:24" ht="15.75" customHeight="1" x14ac:dyDescent="0.2">
      <c r="A705" s="151"/>
      <c r="B705" s="151"/>
      <c r="C705" s="151"/>
      <c r="D705" s="151"/>
      <c r="E705" s="151"/>
      <c r="F705" s="15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</row>
    <row r="706" spans="1:24" ht="15.75" customHeight="1" x14ac:dyDescent="0.2">
      <c r="A706" s="151"/>
      <c r="B706" s="151"/>
      <c r="C706" s="151"/>
      <c r="D706" s="151"/>
      <c r="E706" s="151"/>
      <c r="F706" s="15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</row>
    <row r="707" spans="1:24" ht="15.75" customHeight="1" x14ac:dyDescent="0.2">
      <c r="A707" s="151"/>
      <c r="B707" s="151"/>
      <c r="C707" s="151"/>
      <c r="D707" s="151"/>
      <c r="E707" s="151"/>
      <c r="F707" s="15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</row>
    <row r="708" spans="1:24" ht="15.75" customHeight="1" x14ac:dyDescent="0.2">
      <c r="A708" s="151"/>
      <c r="B708" s="151"/>
      <c r="C708" s="151"/>
      <c r="D708" s="151"/>
      <c r="E708" s="151"/>
      <c r="F708" s="15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</row>
    <row r="709" spans="1:24" ht="15.75" customHeight="1" x14ac:dyDescent="0.2">
      <c r="A709" s="151"/>
      <c r="B709" s="151"/>
      <c r="C709" s="151"/>
      <c r="D709" s="151"/>
      <c r="E709" s="151"/>
      <c r="F709" s="15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</row>
    <row r="710" spans="1:24" ht="15.75" customHeight="1" x14ac:dyDescent="0.2">
      <c r="A710" s="151"/>
      <c r="B710" s="151"/>
      <c r="C710" s="151"/>
      <c r="D710" s="151"/>
      <c r="E710" s="151"/>
      <c r="F710" s="15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</row>
    <row r="711" spans="1:24" ht="15.75" customHeight="1" x14ac:dyDescent="0.2">
      <c r="A711" s="151"/>
      <c r="B711" s="151"/>
      <c r="C711" s="151"/>
      <c r="D711" s="151"/>
      <c r="E711" s="151"/>
      <c r="F711" s="15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</row>
    <row r="712" spans="1:24" ht="15.75" customHeight="1" x14ac:dyDescent="0.2">
      <c r="A712" s="151"/>
      <c r="B712" s="151"/>
      <c r="C712" s="151"/>
      <c r="D712" s="151"/>
      <c r="E712" s="151"/>
      <c r="F712" s="15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</row>
    <row r="713" spans="1:24" ht="15.75" customHeight="1" x14ac:dyDescent="0.2">
      <c r="A713" s="151"/>
      <c r="B713" s="151"/>
      <c r="C713" s="151"/>
      <c r="D713" s="151"/>
      <c r="E713" s="151"/>
      <c r="F713" s="15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</row>
    <row r="714" spans="1:24" ht="15.75" customHeight="1" x14ac:dyDescent="0.2">
      <c r="A714" s="151"/>
      <c r="B714" s="151"/>
      <c r="C714" s="151"/>
      <c r="D714" s="151"/>
      <c r="E714" s="151"/>
      <c r="F714" s="15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</row>
    <row r="715" spans="1:24" ht="15.75" customHeight="1" x14ac:dyDescent="0.2">
      <c r="A715" s="151"/>
      <c r="B715" s="151"/>
      <c r="C715" s="151"/>
      <c r="D715" s="151"/>
      <c r="E715" s="151"/>
      <c r="F715" s="15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</row>
    <row r="716" spans="1:24" ht="15.75" customHeight="1" x14ac:dyDescent="0.2">
      <c r="A716" s="151"/>
      <c r="B716" s="151"/>
      <c r="C716" s="151"/>
      <c r="D716" s="151"/>
      <c r="E716" s="151"/>
      <c r="F716" s="15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</row>
    <row r="717" spans="1:24" ht="15.75" customHeight="1" x14ac:dyDescent="0.2">
      <c r="A717" s="151"/>
      <c r="B717" s="151"/>
      <c r="C717" s="151"/>
      <c r="D717" s="151"/>
      <c r="E717" s="151"/>
      <c r="F717" s="15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</row>
    <row r="718" spans="1:24" ht="15.75" customHeight="1" x14ac:dyDescent="0.2">
      <c r="A718" s="151"/>
      <c r="B718" s="151"/>
      <c r="C718" s="151"/>
      <c r="D718" s="151"/>
      <c r="E718" s="151"/>
      <c r="F718" s="15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</row>
    <row r="719" spans="1:24" ht="15.75" customHeight="1" x14ac:dyDescent="0.2">
      <c r="A719" s="151"/>
      <c r="B719" s="151"/>
      <c r="C719" s="151"/>
      <c r="D719" s="151"/>
      <c r="E719" s="151"/>
      <c r="F719" s="15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</row>
    <row r="720" spans="1:24" ht="15.75" customHeight="1" x14ac:dyDescent="0.2">
      <c r="A720" s="151"/>
      <c r="B720" s="151"/>
      <c r="C720" s="151"/>
      <c r="D720" s="151"/>
      <c r="E720" s="151"/>
      <c r="F720" s="15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</row>
    <row r="721" spans="1:24" ht="15.75" customHeight="1" x14ac:dyDescent="0.2">
      <c r="A721" s="151"/>
      <c r="B721" s="151"/>
      <c r="C721" s="151"/>
      <c r="D721" s="151"/>
      <c r="E721" s="151"/>
      <c r="F721" s="15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</row>
    <row r="722" spans="1:24" ht="15.75" customHeight="1" x14ac:dyDescent="0.2">
      <c r="A722" s="151"/>
      <c r="B722" s="151"/>
      <c r="C722" s="151"/>
      <c r="D722" s="151"/>
      <c r="E722" s="151"/>
      <c r="F722" s="15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</row>
    <row r="723" spans="1:24" ht="15.75" customHeight="1" x14ac:dyDescent="0.2">
      <c r="A723" s="151"/>
      <c r="B723" s="151"/>
      <c r="C723" s="151"/>
      <c r="D723" s="151"/>
      <c r="E723" s="151"/>
      <c r="F723" s="15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</row>
    <row r="724" spans="1:24" ht="15.75" customHeight="1" x14ac:dyDescent="0.2">
      <c r="A724" s="151"/>
      <c r="B724" s="151"/>
      <c r="C724" s="151"/>
      <c r="D724" s="151"/>
      <c r="E724" s="151"/>
      <c r="F724" s="15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</row>
    <row r="725" spans="1:24" ht="15.75" customHeight="1" x14ac:dyDescent="0.2">
      <c r="A725" s="151"/>
      <c r="B725" s="151"/>
      <c r="C725" s="151"/>
      <c r="D725" s="151"/>
      <c r="E725" s="151"/>
      <c r="F725" s="15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</row>
    <row r="726" spans="1:24" ht="15.75" customHeight="1" x14ac:dyDescent="0.2">
      <c r="A726" s="151"/>
      <c r="B726" s="151"/>
      <c r="C726" s="151"/>
      <c r="D726" s="151"/>
      <c r="E726" s="151"/>
      <c r="F726" s="15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</row>
    <row r="727" spans="1:24" ht="15.75" customHeight="1" x14ac:dyDescent="0.2">
      <c r="A727" s="151"/>
      <c r="B727" s="151"/>
      <c r="C727" s="151"/>
      <c r="D727" s="151"/>
      <c r="E727" s="151"/>
      <c r="F727" s="15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</row>
    <row r="728" spans="1:24" ht="15.75" customHeight="1" x14ac:dyDescent="0.2">
      <c r="A728" s="151"/>
      <c r="B728" s="151"/>
      <c r="C728" s="151"/>
      <c r="D728" s="151"/>
      <c r="E728" s="151"/>
      <c r="F728" s="15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</row>
    <row r="729" spans="1:24" ht="15.75" customHeight="1" x14ac:dyDescent="0.2">
      <c r="A729" s="151"/>
      <c r="B729" s="151"/>
      <c r="C729" s="151"/>
      <c r="D729" s="151"/>
      <c r="E729" s="151"/>
      <c r="F729" s="15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</row>
    <row r="730" spans="1:24" ht="15.75" customHeight="1" x14ac:dyDescent="0.2">
      <c r="A730" s="151"/>
      <c r="B730" s="151"/>
      <c r="C730" s="151"/>
      <c r="D730" s="151"/>
      <c r="E730" s="151"/>
      <c r="F730" s="15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</row>
    <row r="731" spans="1:24" ht="15.75" customHeight="1" x14ac:dyDescent="0.2">
      <c r="A731" s="151"/>
      <c r="B731" s="151"/>
      <c r="C731" s="151"/>
      <c r="D731" s="151"/>
      <c r="E731" s="151"/>
      <c r="F731" s="15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</row>
    <row r="732" spans="1:24" ht="15.75" customHeight="1" x14ac:dyDescent="0.2">
      <c r="A732" s="151"/>
      <c r="B732" s="151"/>
      <c r="C732" s="151"/>
      <c r="D732" s="151"/>
      <c r="E732" s="151"/>
      <c r="F732" s="15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</row>
    <row r="733" spans="1:24" ht="15.75" customHeight="1" x14ac:dyDescent="0.2">
      <c r="A733" s="151"/>
      <c r="B733" s="151"/>
      <c r="C733" s="151"/>
      <c r="D733" s="151"/>
      <c r="E733" s="151"/>
      <c r="F733" s="15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</row>
    <row r="734" spans="1:24" ht="15.75" customHeight="1" x14ac:dyDescent="0.2">
      <c r="A734" s="151"/>
      <c r="B734" s="151"/>
      <c r="C734" s="151"/>
      <c r="D734" s="151"/>
      <c r="E734" s="151"/>
      <c r="F734" s="15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</row>
    <row r="735" spans="1:24" ht="15.75" customHeight="1" x14ac:dyDescent="0.2">
      <c r="A735" s="151"/>
      <c r="B735" s="151"/>
      <c r="C735" s="151"/>
      <c r="D735" s="151"/>
      <c r="E735" s="151"/>
      <c r="F735" s="15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</row>
    <row r="736" spans="1:24" ht="15.75" customHeight="1" x14ac:dyDescent="0.2">
      <c r="A736" s="151"/>
      <c r="B736" s="151"/>
      <c r="C736" s="151"/>
      <c r="D736" s="151"/>
      <c r="E736" s="151"/>
      <c r="F736" s="15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</row>
    <row r="737" spans="1:24" ht="15.75" customHeight="1" x14ac:dyDescent="0.2">
      <c r="A737" s="151"/>
      <c r="B737" s="151"/>
      <c r="C737" s="151"/>
      <c r="D737" s="151"/>
      <c r="E737" s="151"/>
      <c r="F737" s="15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</row>
    <row r="738" spans="1:24" ht="15.75" customHeight="1" x14ac:dyDescent="0.2">
      <c r="A738" s="151"/>
      <c r="B738" s="151"/>
      <c r="C738" s="151"/>
      <c r="D738" s="151"/>
      <c r="E738" s="151"/>
      <c r="F738" s="15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</row>
    <row r="739" spans="1:24" ht="15.75" customHeight="1" x14ac:dyDescent="0.2">
      <c r="A739" s="151"/>
      <c r="B739" s="151"/>
      <c r="C739" s="151"/>
      <c r="D739" s="151"/>
      <c r="E739" s="151"/>
      <c r="F739" s="15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</row>
    <row r="740" spans="1:24" ht="15.75" customHeight="1" x14ac:dyDescent="0.2">
      <c r="A740" s="151"/>
      <c r="B740" s="151"/>
      <c r="C740" s="151"/>
      <c r="D740" s="151"/>
      <c r="E740" s="151"/>
      <c r="F740" s="15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</row>
    <row r="741" spans="1:24" ht="15.75" customHeight="1" x14ac:dyDescent="0.2">
      <c r="A741" s="151"/>
      <c r="B741" s="151"/>
      <c r="C741" s="151"/>
      <c r="D741" s="151"/>
      <c r="E741" s="151"/>
      <c r="F741" s="15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</row>
    <row r="742" spans="1:24" ht="15.75" customHeight="1" x14ac:dyDescent="0.2">
      <c r="A742" s="151"/>
      <c r="B742" s="151"/>
      <c r="C742" s="151"/>
      <c r="D742" s="151"/>
      <c r="E742" s="151"/>
      <c r="F742" s="15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</row>
    <row r="743" spans="1:24" ht="15.75" customHeight="1" x14ac:dyDescent="0.2">
      <c r="A743" s="151"/>
      <c r="B743" s="151"/>
      <c r="C743" s="151"/>
      <c r="D743" s="151"/>
      <c r="E743" s="151"/>
      <c r="F743" s="15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</row>
    <row r="744" spans="1:24" ht="15.75" customHeight="1" x14ac:dyDescent="0.2">
      <c r="A744" s="151"/>
      <c r="B744" s="151"/>
      <c r="C744" s="151"/>
      <c r="D744" s="151"/>
      <c r="E744" s="151"/>
      <c r="F744" s="15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</row>
    <row r="745" spans="1:24" ht="15.75" customHeight="1" x14ac:dyDescent="0.2">
      <c r="A745" s="151"/>
      <c r="B745" s="151"/>
      <c r="C745" s="151"/>
      <c r="D745" s="151"/>
      <c r="E745" s="151"/>
      <c r="F745" s="15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</row>
    <row r="746" spans="1:24" ht="15.75" customHeight="1" x14ac:dyDescent="0.2">
      <c r="A746" s="151"/>
      <c r="B746" s="151"/>
      <c r="C746" s="151"/>
      <c r="D746" s="151"/>
      <c r="E746" s="151"/>
      <c r="F746" s="15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</row>
    <row r="747" spans="1:24" ht="15.75" customHeight="1" x14ac:dyDescent="0.2">
      <c r="A747" s="151"/>
      <c r="B747" s="151"/>
      <c r="C747" s="151"/>
      <c r="D747" s="151"/>
      <c r="E747" s="151"/>
      <c r="F747" s="15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</row>
    <row r="748" spans="1:24" ht="15.75" customHeight="1" x14ac:dyDescent="0.2">
      <c r="A748" s="151"/>
      <c r="B748" s="151"/>
      <c r="C748" s="151"/>
      <c r="D748" s="151"/>
      <c r="E748" s="151"/>
      <c r="F748" s="15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</row>
    <row r="749" spans="1:24" ht="15.75" customHeight="1" x14ac:dyDescent="0.2">
      <c r="A749" s="151"/>
      <c r="B749" s="151"/>
      <c r="C749" s="151"/>
      <c r="D749" s="151"/>
      <c r="E749" s="151"/>
      <c r="F749" s="15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</row>
    <row r="750" spans="1:24" ht="15.75" customHeight="1" x14ac:dyDescent="0.2">
      <c r="A750" s="151"/>
      <c r="B750" s="151"/>
      <c r="C750" s="151"/>
      <c r="D750" s="151"/>
      <c r="E750" s="151"/>
      <c r="F750" s="15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</row>
    <row r="751" spans="1:24" ht="15.75" customHeight="1" x14ac:dyDescent="0.2">
      <c r="A751" s="151"/>
      <c r="B751" s="151"/>
      <c r="C751" s="151"/>
      <c r="D751" s="151"/>
      <c r="E751" s="151"/>
      <c r="F751" s="15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</row>
    <row r="752" spans="1:24" ht="15.75" customHeight="1" x14ac:dyDescent="0.2">
      <c r="A752" s="151"/>
      <c r="B752" s="151"/>
      <c r="C752" s="151"/>
      <c r="D752" s="151"/>
      <c r="E752" s="151"/>
      <c r="F752" s="15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</row>
    <row r="753" spans="1:24" ht="15.75" customHeight="1" x14ac:dyDescent="0.2">
      <c r="A753" s="151"/>
      <c r="B753" s="151"/>
      <c r="C753" s="151"/>
      <c r="D753" s="151"/>
      <c r="E753" s="151"/>
      <c r="F753" s="15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</row>
    <row r="754" spans="1:24" ht="15.75" customHeight="1" x14ac:dyDescent="0.2">
      <c r="A754" s="151"/>
      <c r="B754" s="151"/>
      <c r="C754" s="151"/>
      <c r="D754" s="151"/>
      <c r="E754" s="151"/>
      <c r="F754" s="15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</row>
    <row r="755" spans="1:24" ht="15.75" customHeight="1" x14ac:dyDescent="0.2">
      <c r="A755" s="151"/>
      <c r="B755" s="151"/>
      <c r="C755" s="151"/>
      <c r="D755" s="151"/>
      <c r="E755" s="151"/>
      <c r="F755" s="15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</row>
    <row r="756" spans="1:24" ht="15.75" customHeight="1" x14ac:dyDescent="0.2">
      <c r="A756" s="151"/>
      <c r="B756" s="151"/>
      <c r="C756" s="151"/>
      <c r="D756" s="151"/>
      <c r="E756" s="151"/>
      <c r="F756" s="15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</row>
    <row r="757" spans="1:24" ht="15.75" customHeight="1" x14ac:dyDescent="0.2">
      <c r="A757" s="151"/>
      <c r="B757" s="151"/>
      <c r="C757" s="151"/>
      <c r="D757" s="151"/>
      <c r="E757" s="151"/>
      <c r="F757" s="15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</row>
    <row r="758" spans="1:24" ht="15.75" customHeight="1" x14ac:dyDescent="0.2">
      <c r="A758" s="151"/>
      <c r="B758" s="151"/>
      <c r="C758" s="151"/>
      <c r="D758" s="151"/>
      <c r="E758" s="151"/>
      <c r="F758" s="15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</row>
    <row r="759" spans="1:24" ht="15.75" customHeight="1" x14ac:dyDescent="0.2">
      <c r="A759" s="151"/>
      <c r="B759" s="151"/>
      <c r="C759" s="151"/>
      <c r="D759" s="151"/>
      <c r="E759" s="151"/>
      <c r="F759" s="15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</row>
    <row r="760" spans="1:24" ht="15.75" customHeight="1" x14ac:dyDescent="0.2">
      <c r="A760" s="151"/>
      <c r="B760" s="151"/>
      <c r="C760" s="151"/>
      <c r="D760" s="151"/>
      <c r="E760" s="151"/>
      <c r="F760" s="15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</row>
    <row r="761" spans="1:24" ht="15.75" customHeight="1" x14ac:dyDescent="0.2">
      <c r="A761" s="151"/>
      <c r="B761" s="151"/>
      <c r="C761" s="151"/>
      <c r="D761" s="151"/>
      <c r="E761" s="151"/>
      <c r="F761" s="15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</row>
    <row r="762" spans="1:24" ht="15.75" customHeight="1" x14ac:dyDescent="0.2">
      <c r="A762" s="151"/>
      <c r="B762" s="151"/>
      <c r="C762" s="151"/>
      <c r="D762" s="151"/>
      <c r="E762" s="151"/>
      <c r="F762" s="15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</row>
    <row r="763" spans="1:24" ht="15.75" customHeight="1" x14ac:dyDescent="0.2">
      <c r="A763" s="151"/>
      <c r="B763" s="151"/>
      <c r="C763" s="151"/>
      <c r="D763" s="151"/>
      <c r="E763" s="151"/>
      <c r="F763" s="15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</row>
    <row r="764" spans="1:24" ht="15.75" customHeight="1" x14ac:dyDescent="0.2">
      <c r="A764" s="151"/>
      <c r="B764" s="151"/>
      <c r="C764" s="151"/>
      <c r="D764" s="151"/>
      <c r="E764" s="151"/>
      <c r="F764" s="15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</row>
    <row r="765" spans="1:24" ht="15.75" customHeight="1" x14ac:dyDescent="0.2">
      <c r="A765" s="151"/>
      <c r="B765" s="151"/>
      <c r="C765" s="151"/>
      <c r="D765" s="151"/>
      <c r="E765" s="151"/>
      <c r="F765" s="15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</row>
    <row r="766" spans="1:24" ht="15.75" customHeight="1" x14ac:dyDescent="0.2">
      <c r="A766" s="151"/>
      <c r="B766" s="151"/>
      <c r="C766" s="151"/>
      <c r="D766" s="151"/>
      <c r="E766" s="151"/>
      <c r="F766" s="15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</row>
    <row r="767" spans="1:24" ht="15.75" customHeight="1" x14ac:dyDescent="0.2">
      <c r="A767" s="151"/>
      <c r="B767" s="151"/>
      <c r="C767" s="151"/>
      <c r="D767" s="151"/>
      <c r="E767" s="151"/>
      <c r="F767" s="15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</row>
    <row r="768" spans="1:24" ht="15.75" customHeight="1" x14ac:dyDescent="0.2">
      <c r="A768" s="151"/>
      <c r="B768" s="151"/>
      <c r="C768" s="151"/>
      <c r="D768" s="151"/>
      <c r="E768" s="151"/>
      <c r="F768" s="15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</row>
    <row r="769" spans="1:24" ht="15.75" customHeight="1" x14ac:dyDescent="0.2">
      <c r="A769" s="151"/>
      <c r="B769" s="151"/>
      <c r="C769" s="151"/>
      <c r="D769" s="151"/>
      <c r="E769" s="151"/>
      <c r="F769" s="15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</row>
    <row r="770" spans="1:24" ht="15.75" customHeight="1" x14ac:dyDescent="0.2">
      <c r="A770" s="151"/>
      <c r="B770" s="151"/>
      <c r="C770" s="151"/>
      <c r="D770" s="151"/>
      <c r="E770" s="151"/>
      <c r="F770" s="15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</row>
    <row r="771" spans="1:24" ht="15.75" customHeight="1" x14ac:dyDescent="0.2">
      <c r="A771" s="151"/>
      <c r="B771" s="151"/>
      <c r="C771" s="151"/>
      <c r="D771" s="151"/>
      <c r="E771" s="151"/>
      <c r="F771" s="15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</row>
    <row r="772" spans="1:24" ht="15.75" customHeight="1" x14ac:dyDescent="0.2">
      <c r="A772" s="151"/>
      <c r="B772" s="151"/>
      <c r="C772" s="151"/>
      <c r="D772" s="151"/>
      <c r="E772" s="151"/>
      <c r="F772" s="15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</row>
    <row r="773" spans="1:24" ht="15.75" customHeight="1" x14ac:dyDescent="0.2">
      <c r="A773" s="151"/>
      <c r="B773" s="151"/>
      <c r="C773" s="151"/>
      <c r="D773" s="151"/>
      <c r="E773" s="151"/>
      <c r="F773" s="15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</row>
    <row r="774" spans="1:24" ht="15.75" customHeight="1" x14ac:dyDescent="0.2">
      <c r="A774" s="151"/>
      <c r="B774" s="151"/>
      <c r="C774" s="151"/>
      <c r="D774" s="151"/>
      <c r="E774" s="151"/>
      <c r="F774" s="15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</row>
    <row r="775" spans="1:24" ht="15.75" customHeight="1" x14ac:dyDescent="0.2">
      <c r="A775" s="151"/>
      <c r="B775" s="151"/>
      <c r="C775" s="151"/>
      <c r="D775" s="151"/>
      <c r="E775" s="151"/>
      <c r="F775" s="15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</row>
    <row r="776" spans="1:24" ht="15.75" customHeight="1" x14ac:dyDescent="0.2">
      <c r="A776" s="151"/>
      <c r="B776" s="151"/>
      <c r="C776" s="151"/>
      <c r="D776" s="151"/>
      <c r="E776" s="151"/>
      <c r="F776" s="15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</row>
    <row r="777" spans="1:24" ht="15.75" customHeight="1" x14ac:dyDescent="0.2">
      <c r="A777" s="151"/>
      <c r="B777" s="151"/>
      <c r="C777" s="151"/>
      <c r="D777" s="151"/>
      <c r="E777" s="151"/>
      <c r="F777" s="15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</row>
    <row r="778" spans="1:24" ht="15.75" customHeight="1" x14ac:dyDescent="0.2">
      <c r="A778" s="151"/>
      <c r="B778" s="151"/>
      <c r="C778" s="151"/>
      <c r="D778" s="151"/>
      <c r="E778" s="151"/>
      <c r="F778" s="15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</row>
    <row r="779" spans="1:24" ht="15.75" customHeight="1" x14ac:dyDescent="0.2">
      <c r="A779" s="151"/>
      <c r="B779" s="151"/>
      <c r="C779" s="151"/>
      <c r="D779" s="151"/>
      <c r="E779" s="151"/>
      <c r="F779" s="15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</row>
    <row r="780" spans="1:24" ht="15.75" customHeight="1" x14ac:dyDescent="0.2">
      <c r="A780" s="151"/>
      <c r="B780" s="151"/>
      <c r="C780" s="151"/>
      <c r="D780" s="151"/>
      <c r="E780" s="151"/>
      <c r="F780" s="15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</row>
    <row r="781" spans="1:24" ht="15.75" customHeight="1" x14ac:dyDescent="0.2">
      <c r="A781" s="151"/>
      <c r="B781" s="151"/>
      <c r="C781" s="151"/>
      <c r="D781" s="151"/>
      <c r="E781" s="151"/>
      <c r="F781" s="15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</row>
    <row r="782" spans="1:24" ht="15.75" customHeight="1" x14ac:dyDescent="0.2">
      <c r="A782" s="151"/>
      <c r="B782" s="151"/>
      <c r="C782" s="151"/>
      <c r="D782" s="151"/>
      <c r="E782" s="151"/>
      <c r="F782" s="15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</row>
    <row r="783" spans="1:24" ht="15.75" customHeight="1" x14ac:dyDescent="0.2">
      <c r="A783" s="151"/>
      <c r="B783" s="151"/>
      <c r="C783" s="151"/>
      <c r="D783" s="151"/>
      <c r="E783" s="151"/>
      <c r="F783" s="15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</row>
    <row r="784" spans="1:24" ht="15.75" customHeight="1" x14ac:dyDescent="0.2">
      <c r="A784" s="151"/>
      <c r="B784" s="151"/>
      <c r="C784" s="151"/>
      <c r="D784" s="151"/>
      <c r="E784" s="151"/>
      <c r="F784" s="15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</row>
    <row r="785" spans="1:24" ht="15.75" customHeight="1" x14ac:dyDescent="0.2">
      <c r="A785" s="151"/>
      <c r="B785" s="151"/>
      <c r="C785" s="151"/>
      <c r="D785" s="151"/>
      <c r="E785" s="151"/>
      <c r="F785" s="15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</row>
    <row r="786" spans="1:24" ht="15.75" customHeight="1" x14ac:dyDescent="0.2">
      <c r="A786" s="151"/>
      <c r="B786" s="151"/>
      <c r="C786" s="151"/>
      <c r="D786" s="151"/>
      <c r="E786" s="151"/>
      <c r="F786" s="15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</row>
    <row r="787" spans="1:24" ht="15.75" customHeight="1" x14ac:dyDescent="0.2">
      <c r="A787" s="151"/>
      <c r="B787" s="151"/>
      <c r="C787" s="151"/>
      <c r="D787" s="151"/>
      <c r="E787" s="151"/>
      <c r="F787" s="15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</row>
    <row r="788" spans="1:24" ht="15.75" customHeight="1" x14ac:dyDescent="0.2">
      <c r="A788" s="151"/>
      <c r="B788" s="151"/>
      <c r="C788" s="151"/>
      <c r="D788" s="151"/>
      <c r="E788" s="151"/>
      <c r="F788" s="15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</row>
    <row r="789" spans="1:24" ht="15.75" customHeight="1" x14ac:dyDescent="0.2">
      <c r="A789" s="151"/>
      <c r="B789" s="151"/>
      <c r="C789" s="151"/>
      <c r="D789" s="151"/>
      <c r="E789" s="151"/>
      <c r="F789" s="15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</row>
    <row r="790" spans="1:24" ht="15.75" customHeight="1" x14ac:dyDescent="0.2">
      <c r="A790" s="151"/>
      <c r="B790" s="151"/>
      <c r="C790" s="151"/>
      <c r="D790" s="151"/>
      <c r="E790" s="151"/>
      <c r="F790" s="15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</row>
    <row r="791" spans="1:24" ht="15.75" customHeight="1" x14ac:dyDescent="0.2">
      <c r="A791" s="151"/>
      <c r="B791" s="151"/>
      <c r="C791" s="151"/>
      <c r="D791" s="151"/>
      <c r="E791" s="151"/>
      <c r="F791" s="15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</row>
    <row r="792" spans="1:24" ht="15.75" customHeight="1" x14ac:dyDescent="0.2">
      <c r="A792" s="151"/>
      <c r="B792" s="151"/>
      <c r="C792" s="151"/>
      <c r="D792" s="151"/>
      <c r="E792" s="151"/>
      <c r="F792" s="15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</row>
    <row r="793" spans="1:24" ht="15.75" customHeight="1" x14ac:dyDescent="0.2">
      <c r="A793" s="151"/>
      <c r="B793" s="151"/>
      <c r="C793" s="151"/>
      <c r="D793" s="151"/>
      <c r="E793" s="151"/>
      <c r="F793" s="15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</row>
    <row r="794" spans="1:24" ht="15.75" customHeight="1" x14ac:dyDescent="0.2">
      <c r="A794" s="151"/>
      <c r="B794" s="151"/>
      <c r="C794" s="151"/>
      <c r="D794" s="151"/>
      <c r="E794" s="151"/>
      <c r="F794" s="15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</row>
    <row r="795" spans="1:24" ht="15.75" customHeight="1" x14ac:dyDescent="0.2">
      <c r="A795" s="151"/>
      <c r="B795" s="151"/>
      <c r="C795" s="151"/>
      <c r="D795" s="151"/>
      <c r="E795" s="151"/>
      <c r="F795" s="15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</row>
    <row r="796" spans="1:24" ht="15.75" customHeight="1" x14ac:dyDescent="0.2">
      <c r="A796" s="151"/>
      <c r="B796" s="151"/>
      <c r="C796" s="151"/>
      <c r="D796" s="151"/>
      <c r="E796" s="151"/>
      <c r="F796" s="15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</row>
    <row r="797" spans="1:24" ht="15.75" customHeight="1" x14ac:dyDescent="0.2">
      <c r="A797" s="151"/>
      <c r="B797" s="151"/>
      <c r="C797" s="151"/>
      <c r="D797" s="151"/>
      <c r="E797" s="151"/>
      <c r="F797" s="15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</row>
    <row r="798" spans="1:24" ht="15.75" customHeight="1" x14ac:dyDescent="0.2">
      <c r="A798" s="151"/>
      <c r="B798" s="151"/>
      <c r="C798" s="151"/>
      <c r="D798" s="151"/>
      <c r="E798" s="151"/>
      <c r="F798" s="15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</row>
    <row r="799" spans="1:24" ht="15.75" customHeight="1" x14ac:dyDescent="0.2">
      <c r="A799" s="151"/>
      <c r="B799" s="151"/>
      <c r="C799" s="151"/>
      <c r="D799" s="151"/>
      <c r="E799" s="151"/>
      <c r="F799" s="15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</row>
    <row r="800" spans="1:24" ht="15.75" customHeight="1" x14ac:dyDescent="0.2">
      <c r="A800" s="151"/>
      <c r="B800" s="151"/>
      <c r="C800" s="151"/>
      <c r="D800" s="151"/>
      <c r="E800" s="151"/>
      <c r="F800" s="15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</row>
    <row r="801" spans="1:24" ht="15.75" customHeight="1" x14ac:dyDescent="0.2">
      <c r="A801" s="151"/>
      <c r="B801" s="151"/>
      <c r="C801" s="151"/>
      <c r="D801" s="151"/>
      <c r="E801" s="151"/>
      <c r="F801" s="15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</row>
    <row r="802" spans="1:24" ht="15.75" customHeight="1" x14ac:dyDescent="0.2">
      <c r="A802" s="151"/>
      <c r="B802" s="151"/>
      <c r="C802" s="151"/>
      <c r="D802" s="151"/>
      <c r="E802" s="151"/>
      <c r="F802" s="15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</row>
    <row r="803" spans="1:24" ht="15.75" customHeight="1" x14ac:dyDescent="0.2">
      <c r="A803" s="151"/>
      <c r="B803" s="151"/>
      <c r="C803" s="151"/>
      <c r="D803" s="151"/>
      <c r="E803" s="151"/>
      <c r="F803" s="15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</row>
    <row r="804" spans="1:24" ht="15.75" customHeight="1" x14ac:dyDescent="0.2">
      <c r="A804" s="151"/>
      <c r="B804" s="151"/>
      <c r="C804" s="151"/>
      <c r="D804" s="151"/>
      <c r="E804" s="151"/>
      <c r="F804" s="15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</row>
    <row r="805" spans="1:24" ht="15.75" customHeight="1" x14ac:dyDescent="0.2">
      <c r="A805" s="151"/>
      <c r="B805" s="151"/>
      <c r="C805" s="151"/>
      <c r="D805" s="151"/>
      <c r="E805" s="151"/>
      <c r="F805" s="15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</row>
    <row r="806" spans="1:24" ht="15.75" customHeight="1" x14ac:dyDescent="0.2">
      <c r="A806" s="151"/>
      <c r="B806" s="151"/>
      <c r="C806" s="151"/>
      <c r="D806" s="151"/>
      <c r="E806" s="151"/>
      <c r="F806" s="15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</row>
    <row r="807" spans="1:24" ht="15.75" customHeight="1" x14ac:dyDescent="0.2">
      <c r="A807" s="151"/>
      <c r="B807" s="151"/>
      <c r="C807" s="151"/>
      <c r="D807" s="151"/>
      <c r="E807" s="151"/>
      <c r="F807" s="15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</row>
    <row r="808" spans="1:24" ht="15.75" customHeight="1" x14ac:dyDescent="0.2">
      <c r="A808" s="151"/>
      <c r="B808" s="151"/>
      <c r="C808" s="151"/>
      <c r="D808" s="151"/>
      <c r="E808" s="151"/>
      <c r="F808" s="15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</row>
    <row r="809" spans="1:24" ht="15.75" customHeight="1" x14ac:dyDescent="0.2">
      <c r="A809" s="151"/>
      <c r="B809" s="151"/>
      <c r="C809" s="151"/>
      <c r="D809" s="151"/>
      <c r="E809" s="151"/>
      <c r="F809" s="15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</row>
    <row r="810" spans="1:24" ht="15.75" customHeight="1" x14ac:dyDescent="0.2">
      <c r="A810" s="151"/>
      <c r="B810" s="151"/>
      <c r="C810" s="151"/>
      <c r="D810" s="151"/>
      <c r="E810" s="151"/>
      <c r="F810" s="15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</row>
    <row r="811" spans="1:24" ht="15.75" customHeight="1" x14ac:dyDescent="0.2">
      <c r="A811" s="151"/>
      <c r="B811" s="151"/>
      <c r="C811" s="151"/>
      <c r="D811" s="151"/>
      <c r="E811" s="151"/>
      <c r="F811" s="15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</row>
    <row r="812" spans="1:24" ht="15.75" customHeight="1" x14ac:dyDescent="0.2">
      <c r="A812" s="151"/>
      <c r="B812" s="151"/>
      <c r="C812" s="151"/>
      <c r="D812" s="151"/>
      <c r="E812" s="151"/>
      <c r="F812" s="15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</row>
    <row r="813" spans="1:24" ht="15.75" customHeight="1" x14ac:dyDescent="0.2">
      <c r="A813" s="151"/>
      <c r="B813" s="151"/>
      <c r="C813" s="151"/>
      <c r="D813" s="151"/>
      <c r="E813" s="151"/>
      <c r="F813" s="15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</row>
    <row r="814" spans="1:24" ht="15.75" customHeight="1" x14ac:dyDescent="0.2">
      <c r="A814" s="151"/>
      <c r="B814" s="151"/>
      <c r="C814" s="151"/>
      <c r="D814" s="151"/>
      <c r="E814" s="151"/>
      <c r="F814" s="15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</row>
    <row r="815" spans="1:24" ht="15.75" customHeight="1" x14ac:dyDescent="0.2">
      <c r="A815" s="151"/>
      <c r="B815" s="151"/>
      <c r="C815" s="151"/>
      <c r="D815" s="151"/>
      <c r="E815" s="151"/>
      <c r="F815" s="15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</row>
    <row r="816" spans="1:24" ht="15.75" customHeight="1" x14ac:dyDescent="0.2">
      <c r="A816" s="151"/>
      <c r="B816" s="151"/>
      <c r="C816" s="151"/>
      <c r="D816" s="151"/>
      <c r="E816" s="151"/>
      <c r="F816" s="15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</row>
    <row r="817" spans="1:24" ht="15.75" customHeight="1" x14ac:dyDescent="0.2">
      <c r="A817" s="151"/>
      <c r="B817" s="151"/>
      <c r="C817" s="151"/>
      <c r="D817" s="151"/>
      <c r="E817" s="151"/>
      <c r="F817" s="15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</row>
    <row r="818" spans="1:24" ht="15.75" customHeight="1" x14ac:dyDescent="0.2">
      <c r="A818" s="151"/>
      <c r="B818" s="151"/>
      <c r="C818" s="151"/>
      <c r="D818" s="151"/>
      <c r="E818" s="151"/>
      <c r="F818" s="15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</row>
    <row r="819" spans="1:24" ht="15.75" customHeight="1" x14ac:dyDescent="0.2">
      <c r="A819" s="151"/>
      <c r="B819" s="151"/>
      <c r="C819" s="151"/>
      <c r="D819" s="151"/>
      <c r="E819" s="151"/>
      <c r="F819" s="15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</row>
    <row r="820" spans="1:24" ht="15.75" customHeight="1" x14ac:dyDescent="0.2">
      <c r="A820" s="151"/>
      <c r="B820" s="151"/>
      <c r="C820" s="151"/>
      <c r="D820" s="151"/>
      <c r="E820" s="151"/>
      <c r="F820" s="15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</row>
    <row r="821" spans="1:24" ht="15.75" customHeight="1" x14ac:dyDescent="0.2">
      <c r="A821" s="151"/>
      <c r="B821" s="151"/>
      <c r="C821" s="151"/>
      <c r="D821" s="151"/>
      <c r="E821" s="151"/>
      <c r="F821" s="15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</row>
    <row r="822" spans="1:24" ht="15.75" customHeight="1" x14ac:dyDescent="0.2">
      <c r="A822" s="151"/>
      <c r="B822" s="151"/>
      <c r="C822" s="151"/>
      <c r="D822" s="151"/>
      <c r="E822" s="151"/>
      <c r="F822" s="15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</row>
    <row r="823" spans="1:24" ht="15.75" customHeight="1" x14ac:dyDescent="0.2">
      <c r="A823" s="151"/>
      <c r="B823" s="151"/>
      <c r="C823" s="151"/>
      <c r="D823" s="151"/>
      <c r="E823" s="151"/>
      <c r="F823" s="15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</row>
    <row r="824" spans="1:24" ht="15.75" customHeight="1" x14ac:dyDescent="0.2">
      <c r="A824" s="151"/>
      <c r="B824" s="151"/>
      <c r="C824" s="151"/>
      <c r="D824" s="151"/>
      <c r="E824" s="151"/>
      <c r="F824" s="15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</row>
    <row r="825" spans="1:24" ht="15.75" customHeight="1" x14ac:dyDescent="0.2">
      <c r="A825" s="151"/>
      <c r="B825" s="151"/>
      <c r="C825" s="151"/>
      <c r="D825" s="151"/>
      <c r="E825" s="151"/>
      <c r="F825" s="15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</row>
    <row r="826" spans="1:24" ht="15.75" customHeight="1" x14ac:dyDescent="0.2">
      <c r="A826" s="151"/>
      <c r="B826" s="151"/>
      <c r="C826" s="151"/>
      <c r="D826" s="151"/>
      <c r="E826" s="151"/>
      <c r="F826" s="15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</row>
    <row r="827" spans="1:24" ht="15.75" customHeight="1" x14ac:dyDescent="0.2">
      <c r="A827" s="151"/>
      <c r="B827" s="151"/>
      <c r="C827" s="151"/>
      <c r="D827" s="151"/>
      <c r="E827" s="151"/>
      <c r="F827" s="15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</row>
    <row r="828" spans="1:24" ht="15.75" customHeight="1" x14ac:dyDescent="0.2">
      <c r="A828" s="151"/>
      <c r="B828" s="151"/>
      <c r="C828" s="151"/>
      <c r="D828" s="151"/>
      <c r="E828" s="151"/>
      <c r="F828" s="15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</row>
    <row r="829" spans="1:24" ht="15.75" customHeight="1" x14ac:dyDescent="0.2">
      <c r="A829" s="151"/>
      <c r="B829" s="151"/>
      <c r="C829" s="151"/>
      <c r="D829" s="151"/>
      <c r="E829" s="151"/>
      <c r="F829" s="15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</row>
    <row r="830" spans="1:24" ht="15.75" customHeight="1" x14ac:dyDescent="0.2">
      <c r="A830" s="151"/>
      <c r="B830" s="151"/>
      <c r="C830" s="151"/>
      <c r="D830" s="151"/>
      <c r="E830" s="151"/>
      <c r="F830" s="15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</row>
    <row r="831" spans="1:24" ht="15.75" customHeight="1" x14ac:dyDescent="0.2">
      <c r="A831" s="151"/>
      <c r="B831" s="151"/>
      <c r="C831" s="151"/>
      <c r="D831" s="151"/>
      <c r="E831" s="151"/>
      <c r="F831" s="15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</row>
    <row r="832" spans="1:24" ht="15.75" customHeight="1" x14ac:dyDescent="0.2">
      <c r="A832" s="151"/>
      <c r="B832" s="151"/>
      <c r="C832" s="151"/>
      <c r="D832" s="151"/>
      <c r="E832" s="151"/>
      <c r="F832" s="15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</row>
    <row r="833" spans="1:24" ht="15.75" customHeight="1" x14ac:dyDescent="0.2">
      <c r="A833" s="151"/>
      <c r="B833" s="151"/>
      <c r="C833" s="151"/>
      <c r="D833" s="151"/>
      <c r="E833" s="151"/>
      <c r="F833" s="15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</row>
    <row r="834" spans="1:24" ht="15.75" customHeight="1" x14ac:dyDescent="0.2">
      <c r="A834" s="151"/>
      <c r="B834" s="151"/>
      <c r="C834" s="151"/>
      <c r="D834" s="151"/>
      <c r="E834" s="151"/>
      <c r="F834" s="15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</row>
    <row r="835" spans="1:24" ht="15.75" customHeight="1" x14ac:dyDescent="0.2">
      <c r="A835" s="151"/>
      <c r="B835" s="151"/>
      <c r="C835" s="151"/>
      <c r="D835" s="151"/>
      <c r="E835" s="151"/>
      <c r="F835" s="15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</row>
    <row r="836" spans="1:24" ht="15.75" customHeight="1" x14ac:dyDescent="0.2">
      <c r="A836" s="151"/>
      <c r="B836" s="151"/>
      <c r="C836" s="151"/>
      <c r="D836" s="151"/>
      <c r="E836" s="151"/>
      <c r="F836" s="15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</row>
    <row r="837" spans="1:24" ht="15.75" customHeight="1" x14ac:dyDescent="0.2">
      <c r="A837" s="151"/>
      <c r="B837" s="151"/>
      <c r="C837" s="151"/>
      <c r="D837" s="151"/>
      <c r="E837" s="151"/>
      <c r="F837" s="15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</row>
    <row r="838" spans="1:24" ht="15.75" customHeight="1" x14ac:dyDescent="0.2">
      <c r="A838" s="151"/>
      <c r="B838" s="151"/>
      <c r="C838" s="151"/>
      <c r="D838" s="151"/>
      <c r="E838" s="151"/>
      <c r="F838" s="15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</row>
    <row r="839" spans="1:24" ht="15.75" customHeight="1" x14ac:dyDescent="0.2">
      <c r="A839" s="151"/>
      <c r="B839" s="151"/>
      <c r="C839" s="151"/>
      <c r="D839" s="151"/>
      <c r="E839" s="151"/>
      <c r="F839" s="15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</row>
    <row r="840" spans="1:24" ht="15.75" customHeight="1" x14ac:dyDescent="0.2">
      <c r="A840" s="151"/>
      <c r="B840" s="151"/>
      <c r="C840" s="151"/>
      <c r="D840" s="151"/>
      <c r="E840" s="151"/>
      <c r="F840" s="15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</row>
    <row r="841" spans="1:24" ht="15.75" customHeight="1" x14ac:dyDescent="0.2">
      <c r="A841" s="151"/>
      <c r="B841" s="151"/>
      <c r="C841" s="151"/>
      <c r="D841" s="151"/>
      <c r="E841" s="151"/>
      <c r="F841" s="15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</row>
    <row r="842" spans="1:24" ht="15.75" customHeight="1" x14ac:dyDescent="0.2">
      <c r="A842" s="151"/>
      <c r="B842" s="151"/>
      <c r="C842" s="151"/>
      <c r="D842" s="151"/>
      <c r="E842" s="151"/>
      <c r="F842" s="15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</row>
    <row r="843" spans="1:24" ht="15.75" customHeight="1" x14ac:dyDescent="0.2">
      <c r="A843" s="151"/>
      <c r="B843" s="151"/>
      <c r="C843" s="151"/>
      <c r="D843" s="151"/>
      <c r="E843" s="151"/>
      <c r="F843" s="15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</row>
    <row r="844" spans="1:24" ht="15.75" customHeight="1" x14ac:dyDescent="0.2">
      <c r="A844" s="151"/>
      <c r="B844" s="151"/>
      <c r="C844" s="151"/>
      <c r="D844" s="151"/>
      <c r="E844" s="151"/>
      <c r="F844" s="15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</row>
    <row r="845" spans="1:24" ht="15.75" customHeight="1" x14ac:dyDescent="0.2">
      <c r="A845" s="151"/>
      <c r="B845" s="151"/>
      <c r="C845" s="151"/>
      <c r="D845" s="151"/>
      <c r="E845" s="151"/>
      <c r="F845" s="15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</row>
    <row r="846" spans="1:24" ht="15.75" customHeight="1" x14ac:dyDescent="0.2">
      <c r="A846" s="151"/>
      <c r="B846" s="151"/>
      <c r="C846" s="151"/>
      <c r="D846" s="151"/>
      <c r="E846" s="151"/>
      <c r="F846" s="15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</row>
    <row r="847" spans="1:24" ht="15.75" customHeight="1" x14ac:dyDescent="0.2">
      <c r="A847" s="151"/>
      <c r="B847" s="151"/>
      <c r="C847" s="151"/>
      <c r="D847" s="151"/>
      <c r="E847" s="151"/>
      <c r="F847" s="15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</row>
    <row r="848" spans="1:24" ht="15.75" customHeight="1" x14ac:dyDescent="0.2">
      <c r="A848" s="151"/>
      <c r="B848" s="151"/>
      <c r="C848" s="151"/>
      <c r="D848" s="151"/>
      <c r="E848" s="151"/>
      <c r="F848" s="15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</row>
    <row r="849" spans="1:24" ht="15.75" customHeight="1" x14ac:dyDescent="0.2">
      <c r="A849" s="151"/>
      <c r="B849" s="151"/>
      <c r="C849" s="151"/>
      <c r="D849" s="151"/>
      <c r="E849" s="151"/>
      <c r="F849" s="15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</row>
    <row r="850" spans="1:24" ht="15.75" customHeight="1" x14ac:dyDescent="0.2">
      <c r="A850" s="151"/>
      <c r="B850" s="151"/>
      <c r="C850" s="151"/>
      <c r="D850" s="151"/>
      <c r="E850" s="151"/>
      <c r="F850" s="15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</row>
    <row r="851" spans="1:24" ht="15.75" customHeight="1" x14ac:dyDescent="0.2">
      <c r="A851" s="151"/>
      <c r="B851" s="151"/>
      <c r="C851" s="151"/>
      <c r="D851" s="151"/>
      <c r="E851" s="151"/>
      <c r="F851" s="15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</row>
    <row r="852" spans="1:24" ht="15.75" customHeight="1" x14ac:dyDescent="0.2">
      <c r="A852" s="151"/>
      <c r="B852" s="151"/>
      <c r="C852" s="151"/>
      <c r="D852" s="151"/>
      <c r="E852" s="151"/>
      <c r="F852" s="15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</row>
    <row r="853" spans="1:24" ht="15.75" customHeight="1" x14ac:dyDescent="0.2">
      <c r="A853" s="151"/>
      <c r="B853" s="151"/>
      <c r="C853" s="151"/>
      <c r="D853" s="151"/>
      <c r="E853" s="151"/>
      <c r="F853" s="15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</row>
    <row r="854" spans="1:24" ht="15.75" customHeight="1" x14ac:dyDescent="0.2">
      <c r="A854" s="151"/>
      <c r="B854" s="151"/>
      <c r="C854" s="151"/>
      <c r="D854" s="151"/>
      <c r="E854" s="151"/>
      <c r="F854" s="15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</row>
    <row r="855" spans="1:24" ht="15.75" customHeight="1" x14ac:dyDescent="0.2">
      <c r="A855" s="151"/>
      <c r="B855" s="151"/>
      <c r="C855" s="151"/>
      <c r="D855" s="151"/>
      <c r="E855" s="151"/>
      <c r="F855" s="15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</row>
    <row r="856" spans="1:24" ht="15.75" customHeight="1" x14ac:dyDescent="0.2">
      <c r="A856" s="151"/>
      <c r="B856" s="151"/>
      <c r="C856" s="151"/>
      <c r="D856" s="151"/>
      <c r="E856" s="151"/>
      <c r="F856" s="15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</row>
    <row r="857" spans="1:24" ht="15.75" customHeight="1" x14ac:dyDescent="0.2">
      <c r="A857" s="151"/>
      <c r="B857" s="151"/>
      <c r="C857" s="151"/>
      <c r="D857" s="151"/>
      <c r="E857" s="151"/>
      <c r="F857" s="15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</row>
    <row r="858" spans="1:24" ht="15.75" customHeight="1" x14ac:dyDescent="0.2">
      <c r="A858" s="151"/>
      <c r="B858" s="151"/>
      <c r="C858" s="151"/>
      <c r="D858" s="151"/>
      <c r="E858" s="151"/>
      <c r="F858" s="15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</row>
    <row r="859" spans="1:24" ht="15.75" customHeight="1" x14ac:dyDescent="0.2">
      <c r="A859" s="151"/>
      <c r="B859" s="151"/>
      <c r="C859" s="151"/>
      <c r="D859" s="151"/>
      <c r="E859" s="151"/>
      <c r="F859" s="15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</row>
    <row r="860" spans="1:24" ht="15.75" customHeight="1" x14ac:dyDescent="0.2">
      <c r="A860" s="151"/>
      <c r="B860" s="151"/>
      <c r="C860" s="151"/>
      <c r="D860" s="151"/>
      <c r="E860" s="151"/>
      <c r="F860" s="15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</row>
    <row r="861" spans="1:24" ht="15.75" customHeight="1" x14ac:dyDescent="0.2">
      <c r="A861" s="151"/>
      <c r="B861" s="151"/>
      <c r="C861" s="151"/>
      <c r="D861" s="151"/>
      <c r="E861" s="151"/>
      <c r="F861" s="15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</row>
    <row r="862" spans="1:24" ht="15.75" customHeight="1" x14ac:dyDescent="0.2">
      <c r="A862" s="151"/>
      <c r="B862" s="151"/>
      <c r="C862" s="151"/>
      <c r="D862" s="151"/>
      <c r="E862" s="151"/>
      <c r="F862" s="15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</row>
    <row r="863" spans="1:24" ht="15.75" customHeight="1" x14ac:dyDescent="0.2">
      <c r="A863" s="151"/>
      <c r="B863" s="151"/>
      <c r="C863" s="151"/>
      <c r="D863" s="151"/>
      <c r="E863" s="151"/>
      <c r="F863" s="15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</row>
    <row r="864" spans="1:24" ht="15.75" customHeight="1" x14ac:dyDescent="0.2">
      <c r="A864" s="151"/>
      <c r="B864" s="151"/>
      <c r="C864" s="151"/>
      <c r="D864" s="151"/>
      <c r="E864" s="151"/>
      <c r="F864" s="15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</row>
    <row r="865" spans="1:24" ht="15.75" customHeight="1" x14ac:dyDescent="0.2">
      <c r="A865" s="151"/>
      <c r="B865" s="151"/>
      <c r="C865" s="151"/>
      <c r="D865" s="151"/>
      <c r="E865" s="151"/>
      <c r="F865" s="15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</row>
    <row r="866" spans="1:24" ht="15.75" customHeight="1" x14ac:dyDescent="0.2">
      <c r="A866" s="151"/>
      <c r="B866" s="151"/>
      <c r="C866" s="151"/>
      <c r="D866" s="151"/>
      <c r="E866" s="151"/>
      <c r="F866" s="15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</row>
    <row r="867" spans="1:24" ht="15.75" customHeight="1" x14ac:dyDescent="0.2">
      <c r="A867" s="151"/>
      <c r="B867" s="151"/>
      <c r="C867" s="151"/>
      <c r="D867" s="151"/>
      <c r="E867" s="151"/>
      <c r="F867" s="15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</row>
    <row r="868" spans="1:24" ht="15.75" customHeight="1" x14ac:dyDescent="0.2">
      <c r="A868" s="151"/>
      <c r="B868" s="151"/>
      <c r="C868" s="151"/>
      <c r="D868" s="151"/>
      <c r="E868" s="151"/>
      <c r="F868" s="15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</row>
    <row r="869" spans="1:24" ht="15.75" customHeight="1" x14ac:dyDescent="0.2">
      <c r="A869" s="151"/>
      <c r="B869" s="151"/>
      <c r="C869" s="151"/>
      <c r="D869" s="151"/>
      <c r="E869" s="151"/>
      <c r="F869" s="15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</row>
    <row r="870" spans="1:24" ht="15.75" customHeight="1" x14ac:dyDescent="0.2">
      <c r="A870" s="151"/>
      <c r="B870" s="151"/>
      <c r="C870" s="151"/>
      <c r="D870" s="151"/>
      <c r="E870" s="151"/>
      <c r="F870" s="15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</row>
    <row r="871" spans="1:24" ht="15.75" customHeight="1" x14ac:dyDescent="0.2">
      <c r="A871" s="151"/>
      <c r="B871" s="151"/>
      <c r="C871" s="151"/>
      <c r="D871" s="151"/>
      <c r="E871" s="151"/>
      <c r="F871" s="15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</row>
    <row r="872" spans="1:24" ht="15.75" customHeight="1" x14ac:dyDescent="0.2">
      <c r="A872" s="151"/>
      <c r="B872" s="151"/>
      <c r="C872" s="151"/>
      <c r="D872" s="151"/>
      <c r="E872" s="151"/>
      <c r="F872" s="15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</row>
    <row r="873" spans="1:24" ht="15.75" customHeight="1" x14ac:dyDescent="0.2">
      <c r="A873" s="151"/>
      <c r="B873" s="151"/>
      <c r="C873" s="151"/>
      <c r="D873" s="151"/>
      <c r="E873" s="151"/>
      <c r="F873" s="15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</row>
    <row r="874" spans="1:24" ht="15.75" customHeight="1" x14ac:dyDescent="0.2">
      <c r="A874" s="151"/>
      <c r="B874" s="151"/>
      <c r="C874" s="151"/>
      <c r="D874" s="151"/>
      <c r="E874" s="151"/>
      <c r="F874" s="15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</row>
    <row r="875" spans="1:24" ht="15.75" customHeight="1" x14ac:dyDescent="0.2">
      <c r="A875" s="151"/>
      <c r="B875" s="151"/>
      <c r="C875" s="151"/>
      <c r="D875" s="151"/>
      <c r="E875" s="151"/>
      <c r="F875" s="15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</row>
    <row r="876" spans="1:24" ht="15.75" customHeight="1" x14ac:dyDescent="0.2">
      <c r="A876" s="151"/>
      <c r="B876" s="151"/>
      <c r="C876" s="151"/>
      <c r="D876" s="151"/>
      <c r="E876" s="151"/>
      <c r="F876" s="15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</row>
    <row r="877" spans="1:24" ht="15.75" customHeight="1" x14ac:dyDescent="0.2">
      <c r="A877" s="151"/>
      <c r="B877" s="151"/>
      <c r="C877" s="151"/>
      <c r="D877" s="151"/>
      <c r="E877" s="151"/>
      <c r="F877" s="15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</row>
    <row r="878" spans="1:24" ht="15.75" customHeight="1" x14ac:dyDescent="0.2">
      <c r="A878" s="151"/>
      <c r="B878" s="151"/>
      <c r="C878" s="151"/>
      <c r="D878" s="151"/>
      <c r="E878" s="151"/>
      <c r="F878" s="15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</row>
    <row r="879" spans="1:24" ht="15.75" customHeight="1" x14ac:dyDescent="0.2">
      <c r="A879" s="151"/>
      <c r="B879" s="151"/>
      <c r="C879" s="151"/>
      <c r="D879" s="151"/>
      <c r="E879" s="151"/>
      <c r="F879" s="15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</row>
    <row r="880" spans="1:24" ht="15.75" customHeight="1" x14ac:dyDescent="0.2">
      <c r="A880" s="151"/>
      <c r="B880" s="151"/>
      <c r="C880" s="151"/>
      <c r="D880" s="151"/>
      <c r="E880" s="151"/>
      <c r="F880" s="15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</row>
    <row r="881" spans="1:24" ht="15.75" customHeight="1" x14ac:dyDescent="0.2">
      <c r="A881" s="151"/>
      <c r="B881" s="151"/>
      <c r="C881" s="151"/>
      <c r="D881" s="151"/>
      <c r="E881" s="151"/>
      <c r="F881" s="15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</row>
    <row r="882" spans="1:24" ht="15.75" customHeight="1" x14ac:dyDescent="0.2">
      <c r="A882" s="151"/>
      <c r="B882" s="151"/>
      <c r="C882" s="151"/>
      <c r="D882" s="151"/>
      <c r="E882" s="151"/>
      <c r="F882" s="15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</row>
    <row r="883" spans="1:24" ht="15.75" customHeight="1" x14ac:dyDescent="0.2">
      <c r="A883" s="151"/>
      <c r="B883" s="151"/>
      <c r="C883" s="151"/>
      <c r="D883" s="151"/>
      <c r="E883" s="151"/>
      <c r="F883" s="15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</row>
    <row r="884" spans="1:24" ht="15.75" customHeight="1" x14ac:dyDescent="0.2">
      <c r="A884" s="151"/>
      <c r="B884" s="151"/>
      <c r="C884" s="151"/>
      <c r="D884" s="151"/>
      <c r="E884" s="151"/>
      <c r="F884" s="15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</row>
    <row r="885" spans="1:24" ht="15.75" customHeight="1" x14ac:dyDescent="0.2">
      <c r="A885" s="151"/>
      <c r="B885" s="151"/>
      <c r="C885" s="151"/>
      <c r="D885" s="151"/>
      <c r="E885" s="151"/>
      <c r="F885" s="15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</row>
    <row r="886" spans="1:24" ht="15.75" customHeight="1" x14ac:dyDescent="0.2">
      <c r="A886" s="151"/>
      <c r="B886" s="151"/>
      <c r="C886" s="151"/>
      <c r="D886" s="151"/>
      <c r="E886" s="151"/>
      <c r="F886" s="15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</row>
    <row r="887" spans="1:24" ht="15.75" customHeight="1" x14ac:dyDescent="0.2">
      <c r="A887" s="151"/>
      <c r="B887" s="151"/>
      <c r="C887" s="151"/>
      <c r="D887" s="151"/>
      <c r="E887" s="151"/>
      <c r="F887" s="15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</row>
    <row r="888" spans="1:24" ht="15.75" customHeight="1" x14ac:dyDescent="0.2">
      <c r="A888" s="151"/>
      <c r="B888" s="151"/>
      <c r="C888" s="151"/>
      <c r="D888" s="151"/>
      <c r="E888" s="151"/>
      <c r="F888" s="15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</row>
    <row r="889" spans="1:24" ht="15.75" customHeight="1" x14ac:dyDescent="0.2">
      <c r="A889" s="151"/>
      <c r="B889" s="151"/>
      <c r="C889" s="151"/>
      <c r="D889" s="151"/>
      <c r="E889" s="151"/>
      <c r="F889" s="15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</row>
    <row r="890" spans="1:24" ht="15.75" customHeight="1" x14ac:dyDescent="0.2">
      <c r="A890" s="151"/>
      <c r="B890" s="151"/>
      <c r="C890" s="151"/>
      <c r="D890" s="151"/>
      <c r="E890" s="151"/>
      <c r="F890" s="15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</row>
    <row r="891" spans="1:24" ht="15.75" customHeight="1" x14ac:dyDescent="0.2">
      <c r="A891" s="151"/>
      <c r="B891" s="151"/>
      <c r="C891" s="151"/>
      <c r="D891" s="151"/>
      <c r="E891" s="151"/>
      <c r="F891" s="15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</row>
    <row r="892" spans="1:24" ht="15.75" customHeight="1" x14ac:dyDescent="0.2">
      <c r="A892" s="151"/>
      <c r="B892" s="151"/>
      <c r="C892" s="151"/>
      <c r="D892" s="151"/>
      <c r="E892" s="151"/>
      <c r="F892" s="15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</row>
    <row r="893" spans="1:24" ht="15.75" customHeight="1" x14ac:dyDescent="0.2">
      <c r="A893" s="151"/>
      <c r="B893" s="151"/>
      <c r="C893" s="151"/>
      <c r="D893" s="151"/>
      <c r="E893" s="151"/>
      <c r="F893" s="15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</row>
    <row r="894" spans="1:24" ht="15.75" customHeight="1" x14ac:dyDescent="0.2">
      <c r="A894" s="151"/>
      <c r="B894" s="151"/>
      <c r="C894" s="151"/>
      <c r="D894" s="151"/>
      <c r="E894" s="151"/>
      <c r="F894" s="15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</row>
    <row r="895" spans="1:24" ht="15.75" customHeight="1" x14ac:dyDescent="0.2">
      <c r="A895" s="151"/>
      <c r="B895" s="151"/>
      <c r="C895" s="151"/>
      <c r="D895" s="151"/>
      <c r="E895" s="151"/>
      <c r="F895" s="15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</row>
    <row r="896" spans="1:24" ht="15.75" customHeight="1" x14ac:dyDescent="0.2">
      <c r="A896" s="151"/>
      <c r="B896" s="151"/>
      <c r="C896" s="151"/>
      <c r="D896" s="151"/>
      <c r="E896" s="151"/>
      <c r="F896" s="15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</row>
    <row r="897" spans="1:24" ht="15.75" customHeight="1" x14ac:dyDescent="0.2">
      <c r="A897" s="151"/>
      <c r="B897" s="151"/>
      <c r="C897" s="151"/>
      <c r="D897" s="151"/>
      <c r="E897" s="151"/>
      <c r="F897" s="15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</row>
    <row r="898" spans="1:24" ht="15.75" customHeight="1" x14ac:dyDescent="0.2">
      <c r="A898" s="151"/>
      <c r="B898" s="151"/>
      <c r="C898" s="151"/>
      <c r="D898" s="151"/>
      <c r="E898" s="151"/>
      <c r="F898" s="15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</row>
    <row r="899" spans="1:24" ht="15.75" customHeight="1" x14ac:dyDescent="0.2">
      <c r="A899" s="151"/>
      <c r="B899" s="151"/>
      <c r="C899" s="151"/>
      <c r="D899" s="151"/>
      <c r="E899" s="151"/>
      <c r="F899" s="15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</row>
    <row r="900" spans="1:24" ht="15.75" customHeight="1" x14ac:dyDescent="0.2">
      <c r="A900" s="151"/>
      <c r="B900" s="151"/>
      <c r="C900" s="151"/>
      <c r="D900" s="151"/>
      <c r="E900" s="151"/>
      <c r="F900" s="15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</row>
    <row r="901" spans="1:24" ht="15.75" customHeight="1" x14ac:dyDescent="0.2">
      <c r="A901" s="151"/>
      <c r="B901" s="151"/>
      <c r="C901" s="151"/>
      <c r="D901" s="151"/>
      <c r="E901" s="151"/>
      <c r="F901" s="15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</row>
    <row r="902" spans="1:24" ht="15.75" customHeight="1" x14ac:dyDescent="0.2">
      <c r="A902" s="151"/>
      <c r="B902" s="151"/>
      <c r="C902" s="151"/>
      <c r="D902" s="151"/>
      <c r="E902" s="151"/>
      <c r="F902" s="15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</row>
    <row r="903" spans="1:24" ht="15.75" customHeight="1" x14ac:dyDescent="0.2">
      <c r="A903" s="151"/>
      <c r="B903" s="151"/>
      <c r="C903" s="151"/>
      <c r="D903" s="151"/>
      <c r="E903" s="151"/>
      <c r="F903" s="15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</row>
    <row r="904" spans="1:24" ht="15.75" customHeight="1" x14ac:dyDescent="0.2">
      <c r="A904" s="151"/>
      <c r="B904" s="151"/>
      <c r="C904" s="151"/>
      <c r="D904" s="151"/>
      <c r="E904" s="151"/>
      <c r="F904" s="15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</row>
    <row r="905" spans="1:24" ht="15.75" customHeight="1" x14ac:dyDescent="0.2">
      <c r="A905" s="151"/>
      <c r="B905" s="151"/>
      <c r="C905" s="151"/>
      <c r="D905" s="151"/>
      <c r="E905" s="151"/>
      <c r="F905" s="15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</row>
    <row r="906" spans="1:24" ht="15.75" customHeight="1" x14ac:dyDescent="0.2">
      <c r="A906" s="151"/>
      <c r="B906" s="151"/>
      <c r="C906" s="151"/>
      <c r="D906" s="151"/>
      <c r="E906" s="151"/>
      <c r="F906" s="15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</row>
    <row r="907" spans="1:24" ht="15.75" customHeight="1" x14ac:dyDescent="0.2">
      <c r="A907" s="151"/>
      <c r="B907" s="151"/>
      <c r="C907" s="151"/>
      <c r="D907" s="151"/>
      <c r="E907" s="151"/>
      <c r="F907" s="15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</row>
    <row r="908" spans="1:24" ht="15.75" customHeight="1" x14ac:dyDescent="0.2">
      <c r="A908" s="151"/>
      <c r="B908" s="151"/>
      <c r="C908" s="151"/>
      <c r="D908" s="151"/>
      <c r="E908" s="151"/>
      <c r="F908" s="15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</row>
    <row r="909" spans="1:24" ht="15.75" customHeight="1" x14ac:dyDescent="0.2">
      <c r="A909" s="151"/>
      <c r="B909" s="151"/>
      <c r="C909" s="151"/>
      <c r="D909" s="151"/>
      <c r="E909" s="151"/>
      <c r="F909" s="15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</row>
    <row r="910" spans="1:24" ht="15.75" customHeight="1" x14ac:dyDescent="0.2">
      <c r="A910" s="151"/>
      <c r="B910" s="151"/>
      <c r="C910" s="151"/>
      <c r="D910" s="151"/>
      <c r="E910" s="151"/>
      <c r="F910" s="15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</row>
    <row r="911" spans="1:24" ht="15.75" customHeight="1" x14ac:dyDescent="0.2">
      <c r="A911" s="151"/>
      <c r="B911" s="151"/>
      <c r="C911" s="151"/>
      <c r="D911" s="151"/>
      <c r="E911" s="151"/>
      <c r="F911" s="15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</row>
    <row r="912" spans="1:24" ht="15.75" customHeight="1" x14ac:dyDescent="0.2">
      <c r="A912" s="151"/>
      <c r="B912" s="151"/>
      <c r="C912" s="151"/>
      <c r="D912" s="151"/>
      <c r="E912" s="151"/>
      <c r="F912" s="15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</row>
    <row r="913" spans="1:24" ht="15.75" customHeight="1" x14ac:dyDescent="0.2">
      <c r="A913" s="151"/>
      <c r="B913" s="151"/>
      <c r="C913" s="151"/>
      <c r="D913" s="151"/>
      <c r="E913" s="151"/>
      <c r="F913" s="15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</row>
    <row r="914" spans="1:24" ht="15.75" customHeight="1" x14ac:dyDescent="0.2">
      <c r="A914" s="151"/>
      <c r="B914" s="151"/>
      <c r="C914" s="151"/>
      <c r="D914" s="151"/>
      <c r="E914" s="151"/>
      <c r="F914" s="15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</row>
    <row r="915" spans="1:24" ht="15.75" customHeight="1" x14ac:dyDescent="0.2">
      <c r="A915" s="151"/>
      <c r="B915" s="151"/>
      <c r="C915" s="151"/>
      <c r="D915" s="151"/>
      <c r="E915" s="151"/>
      <c r="F915" s="15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</row>
    <row r="916" spans="1:24" ht="15.75" customHeight="1" x14ac:dyDescent="0.2">
      <c r="A916" s="151"/>
      <c r="B916" s="151"/>
      <c r="C916" s="151"/>
      <c r="D916" s="151"/>
      <c r="E916" s="151"/>
      <c r="F916" s="15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</row>
    <row r="917" spans="1:24" ht="15.75" customHeight="1" x14ac:dyDescent="0.2">
      <c r="A917" s="151"/>
      <c r="B917" s="151"/>
      <c r="C917" s="151"/>
      <c r="D917" s="151"/>
      <c r="E917" s="151"/>
      <c r="F917" s="15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</row>
    <row r="918" spans="1:24" ht="15.75" customHeight="1" x14ac:dyDescent="0.2">
      <c r="A918" s="151"/>
      <c r="B918" s="151"/>
      <c r="C918" s="151"/>
      <c r="D918" s="151"/>
      <c r="E918" s="151"/>
      <c r="F918" s="15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</row>
    <row r="919" spans="1:24" ht="15.75" customHeight="1" x14ac:dyDescent="0.2">
      <c r="A919" s="151"/>
      <c r="B919" s="151"/>
      <c r="C919" s="151"/>
      <c r="D919" s="151"/>
      <c r="E919" s="151"/>
      <c r="F919" s="15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</row>
    <row r="920" spans="1:24" ht="15.75" customHeight="1" x14ac:dyDescent="0.2">
      <c r="A920" s="151"/>
      <c r="B920" s="151"/>
      <c r="C920" s="151"/>
      <c r="D920" s="151"/>
      <c r="E920" s="151"/>
      <c r="F920" s="15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</row>
    <row r="921" spans="1:24" ht="15.75" customHeight="1" x14ac:dyDescent="0.2">
      <c r="A921" s="151"/>
      <c r="B921" s="151"/>
      <c r="C921" s="151"/>
      <c r="D921" s="151"/>
      <c r="E921" s="151"/>
      <c r="F921" s="15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</row>
    <row r="922" spans="1:24" ht="15.75" customHeight="1" x14ac:dyDescent="0.2">
      <c r="A922" s="151"/>
      <c r="B922" s="151"/>
      <c r="C922" s="151"/>
      <c r="D922" s="151"/>
      <c r="E922" s="151"/>
      <c r="F922" s="15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</row>
    <row r="923" spans="1:24" ht="15.75" customHeight="1" x14ac:dyDescent="0.2">
      <c r="A923" s="151"/>
      <c r="B923" s="151"/>
      <c r="C923" s="151"/>
      <c r="D923" s="151"/>
      <c r="E923" s="151"/>
      <c r="F923" s="15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</row>
    <row r="924" spans="1:24" ht="15.75" customHeight="1" x14ac:dyDescent="0.2">
      <c r="A924" s="151"/>
      <c r="B924" s="151"/>
      <c r="C924" s="151"/>
      <c r="D924" s="151"/>
      <c r="E924" s="151"/>
      <c r="F924" s="15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</row>
    <row r="925" spans="1:24" ht="15.75" customHeight="1" x14ac:dyDescent="0.2">
      <c r="A925" s="151"/>
      <c r="B925" s="151"/>
      <c r="C925" s="151"/>
      <c r="D925" s="151"/>
      <c r="E925" s="151"/>
      <c r="F925" s="15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</row>
    <row r="926" spans="1:24" ht="15.75" customHeight="1" x14ac:dyDescent="0.2">
      <c r="A926" s="151"/>
      <c r="B926" s="151"/>
      <c r="C926" s="151"/>
      <c r="D926" s="151"/>
      <c r="E926" s="151"/>
      <c r="F926" s="15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</row>
    <row r="927" spans="1:24" ht="15.75" customHeight="1" x14ac:dyDescent="0.2">
      <c r="A927" s="151"/>
      <c r="B927" s="151"/>
      <c r="C927" s="151"/>
      <c r="D927" s="151"/>
      <c r="E927" s="151"/>
      <c r="F927" s="15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</row>
    <row r="928" spans="1:24" ht="15.75" customHeight="1" x14ac:dyDescent="0.2">
      <c r="A928" s="151"/>
      <c r="B928" s="151"/>
      <c r="C928" s="151"/>
      <c r="D928" s="151"/>
      <c r="E928" s="151"/>
      <c r="F928" s="15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</row>
    <row r="929" spans="1:24" ht="15.75" customHeight="1" x14ac:dyDescent="0.2">
      <c r="A929" s="151"/>
      <c r="B929" s="151"/>
      <c r="C929" s="151"/>
      <c r="D929" s="151"/>
      <c r="E929" s="151"/>
      <c r="F929" s="15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</row>
    <row r="930" spans="1:24" ht="15.75" customHeight="1" x14ac:dyDescent="0.2">
      <c r="A930" s="151"/>
      <c r="B930" s="151"/>
      <c r="C930" s="151"/>
      <c r="D930" s="151"/>
      <c r="E930" s="151"/>
      <c r="F930" s="15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</row>
    <row r="931" spans="1:24" ht="15.75" customHeight="1" x14ac:dyDescent="0.2">
      <c r="A931" s="151"/>
      <c r="B931" s="151"/>
      <c r="C931" s="151"/>
      <c r="D931" s="151"/>
      <c r="E931" s="151"/>
      <c r="F931" s="15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</row>
    <row r="932" spans="1:24" ht="15.75" customHeight="1" x14ac:dyDescent="0.2">
      <c r="A932" s="151"/>
      <c r="B932" s="151"/>
      <c r="C932" s="151"/>
      <c r="D932" s="151"/>
      <c r="E932" s="151"/>
      <c r="F932" s="15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</row>
    <row r="933" spans="1:24" ht="15.75" customHeight="1" x14ac:dyDescent="0.2">
      <c r="A933" s="151"/>
      <c r="B933" s="151"/>
      <c r="C933" s="151"/>
      <c r="D933" s="151"/>
      <c r="E933" s="151"/>
      <c r="F933" s="15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</row>
    <row r="934" spans="1:24" ht="15.75" customHeight="1" x14ac:dyDescent="0.2">
      <c r="A934" s="151"/>
      <c r="B934" s="151"/>
      <c r="C934" s="151"/>
      <c r="D934" s="151"/>
      <c r="E934" s="151"/>
      <c r="F934" s="15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</row>
    <row r="935" spans="1:24" ht="15.75" customHeight="1" x14ac:dyDescent="0.2">
      <c r="A935" s="151"/>
      <c r="B935" s="151"/>
      <c r="C935" s="151"/>
      <c r="D935" s="151"/>
      <c r="E935" s="151"/>
      <c r="F935" s="15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</row>
    <row r="936" spans="1:24" ht="15.75" customHeight="1" x14ac:dyDescent="0.2">
      <c r="A936" s="151"/>
      <c r="B936" s="151"/>
      <c r="C936" s="151"/>
      <c r="D936" s="151"/>
      <c r="E936" s="151"/>
      <c r="F936" s="15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</row>
    <row r="937" spans="1:24" ht="15.75" customHeight="1" x14ac:dyDescent="0.2">
      <c r="A937" s="151"/>
      <c r="B937" s="151"/>
      <c r="C937" s="151"/>
      <c r="D937" s="151"/>
      <c r="E937" s="151"/>
      <c r="F937" s="15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</row>
    <row r="938" spans="1:24" ht="15.75" customHeight="1" x14ac:dyDescent="0.2">
      <c r="A938" s="151"/>
      <c r="B938" s="151"/>
      <c r="C938" s="151"/>
      <c r="D938" s="151"/>
      <c r="E938" s="151"/>
      <c r="F938" s="15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</row>
    <row r="939" spans="1:24" ht="15.75" customHeight="1" x14ac:dyDescent="0.2">
      <c r="A939" s="151"/>
      <c r="B939" s="151"/>
      <c r="C939" s="151"/>
      <c r="D939" s="151"/>
      <c r="E939" s="151"/>
      <c r="F939" s="15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</row>
    <row r="940" spans="1:24" ht="15.75" customHeight="1" x14ac:dyDescent="0.2">
      <c r="A940" s="151"/>
      <c r="B940" s="151"/>
      <c r="C940" s="151"/>
      <c r="D940" s="151"/>
      <c r="E940" s="151"/>
      <c r="F940" s="15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</row>
    <row r="941" spans="1:24" ht="15.75" customHeight="1" x14ac:dyDescent="0.2">
      <c r="A941" s="151"/>
      <c r="B941" s="151"/>
      <c r="C941" s="151"/>
      <c r="D941" s="151"/>
      <c r="E941" s="151"/>
      <c r="F941" s="15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</row>
    <row r="942" spans="1:24" ht="15.75" customHeight="1" x14ac:dyDescent="0.2">
      <c r="A942" s="151"/>
      <c r="B942" s="151"/>
      <c r="C942" s="151"/>
      <c r="D942" s="151"/>
      <c r="E942" s="151"/>
      <c r="F942" s="15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</row>
    <row r="943" spans="1:24" ht="15.75" customHeight="1" x14ac:dyDescent="0.2">
      <c r="A943" s="151"/>
      <c r="B943" s="151"/>
      <c r="C943" s="151"/>
      <c r="D943" s="151"/>
      <c r="E943" s="151"/>
      <c r="F943" s="15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</row>
    <row r="944" spans="1:24" ht="15.75" customHeight="1" x14ac:dyDescent="0.2">
      <c r="A944" s="151"/>
      <c r="B944" s="151"/>
      <c r="C944" s="151"/>
      <c r="D944" s="151"/>
      <c r="E944" s="151"/>
      <c r="F944" s="15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</row>
    <row r="945" spans="1:24" ht="15.75" customHeight="1" x14ac:dyDescent="0.2">
      <c r="A945" s="151"/>
      <c r="B945" s="151"/>
      <c r="C945" s="151"/>
      <c r="D945" s="151"/>
      <c r="E945" s="151"/>
      <c r="F945" s="15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  <c r="X945" s="151"/>
    </row>
    <row r="946" spans="1:24" ht="15.75" customHeight="1" x14ac:dyDescent="0.2">
      <c r="A946" s="151"/>
      <c r="B946" s="151"/>
      <c r="C946" s="151"/>
      <c r="D946" s="151"/>
      <c r="E946" s="151"/>
      <c r="F946" s="15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  <c r="X946" s="151"/>
    </row>
    <row r="947" spans="1:24" ht="15.75" customHeight="1" x14ac:dyDescent="0.2">
      <c r="A947" s="151"/>
      <c r="B947" s="151"/>
      <c r="C947" s="151"/>
      <c r="D947" s="151"/>
      <c r="E947" s="151"/>
      <c r="F947" s="15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  <c r="X947" s="151"/>
    </row>
    <row r="948" spans="1:24" ht="15.75" customHeight="1" x14ac:dyDescent="0.2">
      <c r="A948" s="151"/>
      <c r="B948" s="151"/>
      <c r="C948" s="151"/>
      <c r="D948" s="151"/>
      <c r="E948" s="151"/>
      <c r="F948" s="15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  <c r="X948" s="151"/>
    </row>
    <row r="949" spans="1:24" ht="15.75" customHeight="1" x14ac:dyDescent="0.2">
      <c r="A949" s="151"/>
      <c r="B949" s="151"/>
      <c r="C949" s="151"/>
      <c r="D949" s="151"/>
      <c r="E949" s="151"/>
      <c r="F949" s="15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  <c r="X949" s="151"/>
    </row>
    <row r="950" spans="1:24" ht="15.75" customHeight="1" x14ac:dyDescent="0.2">
      <c r="A950" s="151"/>
      <c r="B950" s="151"/>
      <c r="C950" s="151"/>
      <c r="D950" s="151"/>
      <c r="E950" s="151"/>
      <c r="F950" s="15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  <c r="X950" s="151"/>
    </row>
    <row r="951" spans="1:24" ht="15.75" customHeight="1" x14ac:dyDescent="0.2">
      <c r="A951" s="151"/>
      <c r="B951" s="151"/>
      <c r="C951" s="151"/>
      <c r="D951" s="151"/>
      <c r="E951" s="151"/>
      <c r="F951" s="15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  <c r="X951" s="151"/>
    </row>
    <row r="952" spans="1:24" ht="15.75" customHeight="1" x14ac:dyDescent="0.2">
      <c r="A952" s="151"/>
      <c r="B952" s="151"/>
      <c r="C952" s="151"/>
      <c r="D952" s="151"/>
      <c r="E952" s="151"/>
      <c r="F952" s="15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  <c r="X952" s="151"/>
    </row>
    <row r="953" spans="1:24" ht="15.75" customHeight="1" x14ac:dyDescent="0.2">
      <c r="A953" s="151"/>
      <c r="B953" s="151"/>
      <c r="C953" s="151"/>
      <c r="D953" s="151"/>
      <c r="E953" s="151"/>
      <c r="F953" s="15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  <c r="X953" s="151"/>
    </row>
    <row r="954" spans="1:24" ht="15.75" customHeight="1" x14ac:dyDescent="0.2">
      <c r="A954" s="151"/>
      <c r="B954" s="151"/>
      <c r="C954" s="151"/>
      <c r="D954" s="151"/>
      <c r="E954" s="151"/>
      <c r="F954" s="15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  <c r="X954" s="151"/>
    </row>
    <row r="955" spans="1:24" ht="15.75" customHeight="1" x14ac:dyDescent="0.2">
      <c r="A955" s="151"/>
      <c r="B955" s="151"/>
      <c r="C955" s="151"/>
      <c r="D955" s="151"/>
      <c r="E955" s="151"/>
      <c r="F955" s="15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  <c r="X955" s="151"/>
    </row>
    <row r="956" spans="1:24" ht="15.75" customHeight="1" x14ac:dyDescent="0.2">
      <c r="A956" s="151"/>
      <c r="B956" s="151"/>
      <c r="C956" s="151"/>
      <c r="D956" s="151"/>
      <c r="E956" s="151"/>
      <c r="F956" s="15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  <c r="X956" s="151"/>
    </row>
    <row r="957" spans="1:24" ht="15.75" customHeight="1" x14ac:dyDescent="0.2">
      <c r="A957" s="151"/>
      <c r="B957" s="151"/>
      <c r="C957" s="151"/>
      <c r="D957" s="151"/>
      <c r="E957" s="151"/>
      <c r="F957" s="15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  <c r="X957" s="151"/>
    </row>
    <row r="958" spans="1:24" ht="15.75" customHeight="1" x14ac:dyDescent="0.2">
      <c r="A958" s="151"/>
      <c r="B958" s="151"/>
      <c r="C958" s="151"/>
      <c r="D958" s="151"/>
      <c r="E958" s="151"/>
      <c r="F958" s="15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  <c r="X958" s="151"/>
    </row>
    <row r="959" spans="1:24" ht="15.75" customHeight="1" x14ac:dyDescent="0.2">
      <c r="A959" s="151"/>
      <c r="B959" s="151"/>
      <c r="C959" s="151"/>
      <c r="D959" s="151"/>
      <c r="E959" s="151"/>
      <c r="F959" s="15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  <c r="X959" s="151"/>
    </row>
    <row r="960" spans="1:24" ht="15.75" customHeight="1" x14ac:dyDescent="0.2">
      <c r="A960" s="151"/>
      <c r="B960" s="151"/>
      <c r="C960" s="151"/>
      <c r="D960" s="151"/>
      <c r="E960" s="151"/>
      <c r="F960" s="15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  <c r="X960" s="151"/>
    </row>
    <row r="961" spans="1:24" ht="15.75" customHeight="1" x14ac:dyDescent="0.2">
      <c r="A961" s="151"/>
      <c r="B961" s="151"/>
      <c r="C961" s="151"/>
      <c r="D961" s="151"/>
      <c r="E961" s="151"/>
      <c r="F961" s="15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  <c r="X961" s="151"/>
    </row>
    <row r="962" spans="1:24" ht="15.75" customHeight="1" x14ac:dyDescent="0.2">
      <c r="A962" s="151"/>
      <c r="B962" s="151"/>
      <c r="C962" s="151"/>
      <c r="D962" s="151"/>
      <c r="E962" s="151"/>
      <c r="F962" s="15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  <c r="X962" s="151"/>
    </row>
    <row r="963" spans="1:24" ht="15.75" customHeight="1" x14ac:dyDescent="0.2">
      <c r="A963" s="151"/>
      <c r="B963" s="151"/>
      <c r="C963" s="151"/>
      <c r="D963" s="151"/>
      <c r="E963" s="151"/>
      <c r="F963" s="15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  <c r="X963" s="151"/>
    </row>
    <row r="964" spans="1:24" ht="15.75" customHeight="1" x14ac:dyDescent="0.2">
      <c r="A964" s="151"/>
      <c r="B964" s="151"/>
      <c r="C964" s="151"/>
      <c r="D964" s="151"/>
      <c r="E964" s="151"/>
      <c r="F964" s="15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  <c r="X964" s="151"/>
    </row>
    <row r="965" spans="1:24" ht="15.75" customHeight="1" x14ac:dyDescent="0.2">
      <c r="A965" s="151"/>
      <c r="B965" s="151"/>
      <c r="C965" s="151"/>
      <c r="D965" s="151"/>
      <c r="E965" s="151"/>
      <c r="F965" s="15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  <c r="X965" s="151"/>
    </row>
    <row r="966" spans="1:24" ht="15.75" customHeight="1" x14ac:dyDescent="0.2">
      <c r="A966" s="151"/>
      <c r="B966" s="151"/>
      <c r="C966" s="151"/>
      <c r="D966" s="151"/>
      <c r="E966" s="151"/>
      <c r="F966" s="15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  <c r="X966" s="151"/>
    </row>
    <row r="967" spans="1:24" ht="15.75" customHeight="1" x14ac:dyDescent="0.2">
      <c r="A967" s="151"/>
      <c r="B967" s="151"/>
      <c r="C967" s="151"/>
      <c r="D967" s="151"/>
      <c r="E967" s="151"/>
      <c r="F967" s="15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  <c r="X967" s="151"/>
    </row>
    <row r="968" spans="1:24" ht="15.75" customHeight="1" x14ac:dyDescent="0.2">
      <c r="A968" s="151"/>
      <c r="B968" s="151"/>
      <c r="C968" s="151"/>
      <c r="D968" s="151"/>
      <c r="E968" s="151"/>
      <c r="F968" s="15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  <c r="X968" s="151"/>
    </row>
    <row r="969" spans="1:24" ht="15.75" customHeight="1" x14ac:dyDescent="0.2">
      <c r="A969" s="151"/>
      <c r="B969" s="151"/>
      <c r="C969" s="151"/>
      <c r="D969" s="151"/>
      <c r="E969" s="151"/>
      <c r="F969" s="15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  <c r="X969" s="151"/>
    </row>
    <row r="970" spans="1:24" ht="15.75" customHeight="1" x14ac:dyDescent="0.2">
      <c r="A970" s="151"/>
      <c r="B970" s="151"/>
      <c r="C970" s="151"/>
      <c r="D970" s="151"/>
      <c r="E970" s="151"/>
      <c r="F970" s="15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  <c r="X970" s="151"/>
    </row>
    <row r="971" spans="1:24" ht="15.75" customHeight="1" x14ac:dyDescent="0.2">
      <c r="A971" s="151"/>
      <c r="B971" s="151"/>
      <c r="C971" s="151"/>
      <c r="D971" s="151"/>
      <c r="E971" s="151"/>
      <c r="F971" s="15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  <c r="X971" s="151"/>
    </row>
    <row r="972" spans="1:24" ht="15.75" customHeight="1" x14ac:dyDescent="0.2">
      <c r="A972" s="151"/>
      <c r="B972" s="151"/>
      <c r="C972" s="151"/>
      <c r="D972" s="151"/>
      <c r="E972" s="151"/>
      <c r="F972" s="15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  <c r="X972" s="151"/>
    </row>
    <row r="973" spans="1:24" ht="15.75" customHeight="1" x14ac:dyDescent="0.2">
      <c r="A973" s="151"/>
      <c r="B973" s="151"/>
      <c r="C973" s="151"/>
      <c r="D973" s="151"/>
      <c r="E973" s="151"/>
      <c r="F973" s="15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  <c r="X973" s="151"/>
    </row>
    <row r="974" spans="1:24" ht="15.75" customHeight="1" x14ac:dyDescent="0.2">
      <c r="A974" s="151"/>
      <c r="B974" s="151"/>
      <c r="C974" s="151"/>
      <c r="D974" s="151"/>
      <c r="E974" s="151"/>
      <c r="F974" s="15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  <c r="X974" s="151"/>
    </row>
    <row r="975" spans="1:24" ht="15.75" customHeight="1" x14ac:dyDescent="0.2">
      <c r="A975" s="151"/>
      <c r="B975" s="151"/>
      <c r="C975" s="151"/>
      <c r="D975" s="151"/>
      <c r="E975" s="151"/>
      <c r="F975" s="15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  <c r="X975" s="151"/>
    </row>
    <row r="976" spans="1:24" ht="15.75" customHeight="1" x14ac:dyDescent="0.2">
      <c r="A976" s="151"/>
      <c r="B976" s="151"/>
      <c r="C976" s="151"/>
      <c r="D976" s="151"/>
      <c r="E976" s="151"/>
      <c r="F976" s="15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  <c r="X976" s="151"/>
    </row>
    <row r="977" spans="1:24" ht="15.75" customHeight="1" x14ac:dyDescent="0.2">
      <c r="A977" s="151"/>
      <c r="B977" s="151"/>
      <c r="C977" s="151"/>
      <c r="D977" s="151"/>
      <c r="E977" s="151"/>
      <c r="F977" s="15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  <c r="X977" s="151"/>
    </row>
    <row r="978" spans="1:24" ht="15.75" customHeight="1" x14ac:dyDescent="0.2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  <c r="X978" s="151"/>
    </row>
    <row r="979" spans="1:24" ht="15.75" customHeight="1" x14ac:dyDescent="0.2">
      <c r="A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  <c r="X979" s="151"/>
    </row>
    <row r="980" spans="1:24" ht="15.75" customHeight="1" x14ac:dyDescent="0.2">
      <c r="A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  <c r="X980" s="151"/>
    </row>
    <row r="981" spans="1:24" ht="15.75" customHeight="1" x14ac:dyDescent="0.2">
      <c r="A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  <c r="X981" s="151"/>
    </row>
    <row r="982" spans="1:24" ht="15.75" customHeight="1" x14ac:dyDescent="0.2">
      <c r="A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  <c r="X982" s="151"/>
    </row>
    <row r="983" spans="1:24" ht="15.75" customHeight="1" x14ac:dyDescent="0.2">
      <c r="A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  <c r="X983" s="151"/>
    </row>
    <row r="984" spans="1:24" ht="15.75" customHeight="1" x14ac:dyDescent="0.2">
      <c r="A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  <c r="X984" s="151"/>
    </row>
    <row r="985" spans="1:24" ht="15.75" customHeight="1" x14ac:dyDescent="0.2">
      <c r="A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  <c r="X985" s="151"/>
    </row>
    <row r="986" spans="1:24" ht="15.75" customHeight="1" x14ac:dyDescent="0.2">
      <c r="A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  <c r="X986" s="151"/>
    </row>
    <row r="987" spans="1:24" ht="15.75" customHeight="1" x14ac:dyDescent="0.2">
      <c r="A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  <c r="X987" s="151"/>
    </row>
    <row r="988" spans="1:24" ht="15.75" customHeight="1" x14ac:dyDescent="0.2">
      <c r="A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  <c r="X988" s="151"/>
    </row>
    <row r="989" spans="1:24" ht="15.75" customHeight="1" x14ac:dyDescent="0.2">
      <c r="A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  <c r="X989" s="151"/>
    </row>
    <row r="990" spans="1:24" ht="15.75" customHeight="1" x14ac:dyDescent="0.2">
      <c r="A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  <c r="X990" s="151"/>
    </row>
    <row r="991" spans="1:24" ht="15.75" customHeight="1" x14ac:dyDescent="0.2">
      <c r="A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  <c r="X991" s="151"/>
    </row>
    <row r="992" spans="1:24" ht="15.75" customHeight="1" x14ac:dyDescent="0.2">
      <c r="A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  <c r="X992" s="151"/>
    </row>
  </sheetData>
  <mergeCells count="23">
    <mergeCell ref="I32:K32"/>
    <mergeCell ref="I22:K22"/>
    <mergeCell ref="G2:H2"/>
    <mergeCell ref="I28:K28"/>
    <mergeCell ref="J5:N5"/>
    <mergeCell ref="I29:K29"/>
    <mergeCell ref="I31:K31"/>
    <mergeCell ref="I20:L21"/>
    <mergeCell ref="I30:K30"/>
    <mergeCell ref="G4:H4"/>
    <mergeCell ref="I27:K27"/>
    <mergeCell ref="I26:K26"/>
    <mergeCell ref="I24:K24"/>
    <mergeCell ref="I23:K23"/>
    <mergeCell ref="J6:N6"/>
    <mergeCell ref="C6:I6"/>
    <mergeCell ref="O6:O7"/>
    <mergeCell ref="I25:K25"/>
    <mergeCell ref="G1:I1"/>
    <mergeCell ref="G3:H3"/>
    <mergeCell ref="C5:I5"/>
    <mergeCell ref="B17:D17"/>
    <mergeCell ref="B6:B7"/>
  </mergeCells>
  <dataValidations disablePrompts="1" count="2">
    <dataValidation type="list" allowBlank="1" showErrorMessage="1" sqref="I4" xr:uid="{00000000-0002-0000-0C00-000000000000}">
      <formula1>"Si,No"</formula1>
    </dataValidation>
    <dataValidation type="list" allowBlank="1" showErrorMessage="1" sqref="D8:D16" xr:uid="{00000000-0002-0000-0C00-000001000000}">
      <formula1>"0.0,1.0,2.0,3.0,4.0,5.0,6.0,7.0,8.0,9.0,10.0,11.0,12.0,13.0,14.0,15.0,16.0,17.0,18.0,19.0,20.0,21.0,22.0,23.0,24.0,25.0,26.0,27.0,28.0,29.0,30.0"</formula1>
    </dataValidation>
  </dataValidations>
  <pageMargins left="0.7" right="0.7" top="0.75" bottom="0.75" header="0.3" footer="0.3"/>
  <pageSetup paperSize="9" orientation="portrait" horizontalDpi="1200" verticalDpi="12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G44"/>
  <sheetViews>
    <sheetView workbookViewId="0">
      <selection activeCell="C28" sqref="C28"/>
    </sheetView>
  </sheetViews>
  <sheetFormatPr baseColWidth="10" defaultColWidth="8.83203125" defaultRowHeight="15" x14ac:dyDescent="0.2"/>
  <cols>
    <col min="2" max="2" width="35" customWidth="1"/>
    <col min="3" max="5" width="22" customWidth="1"/>
  </cols>
  <sheetData>
    <row r="2" spans="2:7" ht="19" x14ac:dyDescent="0.25">
      <c r="B2" s="240" t="s">
        <v>462</v>
      </c>
      <c r="C2" s="239"/>
      <c r="D2" s="239"/>
      <c r="E2" s="239"/>
      <c r="F2" s="239"/>
      <c r="G2" s="239"/>
    </row>
    <row r="3" spans="2:7" x14ac:dyDescent="0.2">
      <c r="B3" s="266" t="s">
        <v>463</v>
      </c>
      <c r="C3" s="239"/>
      <c r="D3" s="239"/>
      <c r="E3" s="239"/>
      <c r="F3" s="239"/>
      <c r="G3" s="239"/>
    </row>
    <row r="6" spans="2:7" ht="16" x14ac:dyDescent="0.2">
      <c r="B6" s="220" t="s">
        <v>464</v>
      </c>
      <c r="C6" s="221" t="s">
        <v>465</v>
      </c>
      <c r="D6" s="221" t="s">
        <v>466</v>
      </c>
      <c r="E6" s="221" t="s">
        <v>467</v>
      </c>
    </row>
    <row r="8" spans="2:7" x14ac:dyDescent="0.2">
      <c r="B8" s="238" t="s">
        <v>468</v>
      </c>
      <c r="C8" s="239"/>
      <c r="D8" s="239"/>
      <c r="E8" s="239"/>
    </row>
    <row r="9" spans="2:7" x14ac:dyDescent="0.2">
      <c r="B9" t="s">
        <v>469</v>
      </c>
      <c r="C9">
        <f>'Flujo de Caja'!C25</f>
        <v>130939168.935</v>
      </c>
      <c r="D9">
        <f>'Flujo de Caja'!C25</f>
        <v>130939168.935</v>
      </c>
      <c r="E9">
        <f>'Flujo de Caja'!C25</f>
        <v>130939168.935</v>
      </c>
    </row>
    <row r="10" spans="2:7" x14ac:dyDescent="0.2">
      <c r="B10" t="s">
        <v>470</v>
      </c>
      <c r="C10">
        <v>0</v>
      </c>
      <c r="D10">
        <f>'Flujo de Caja'!C30</f>
        <v>78563501.361000001</v>
      </c>
      <c r="E10">
        <f>'Flujo de Caja'!C25*0.8</f>
        <v>104751335.148</v>
      </c>
    </row>
    <row r="11" spans="2:7" x14ac:dyDescent="0.2">
      <c r="B11" t="s">
        <v>471</v>
      </c>
      <c r="C11">
        <f>'Flujo de Caja'!C25</f>
        <v>130939168.935</v>
      </c>
      <c r="D11">
        <f>'Flujo de Caja'!C31</f>
        <v>52375667.574000001</v>
      </c>
      <c r="E11">
        <f>'Flujo de Caja'!C25*0.2</f>
        <v>26187833.787</v>
      </c>
    </row>
    <row r="12" spans="2:7" x14ac:dyDescent="0.2">
      <c r="B12" t="s">
        <v>472</v>
      </c>
      <c r="C12">
        <v>0</v>
      </c>
      <c r="D12">
        <v>0.6</v>
      </c>
      <c r="E12">
        <v>0.8</v>
      </c>
    </row>
    <row r="13" spans="2:7" x14ac:dyDescent="0.2">
      <c r="B13" t="s">
        <v>473</v>
      </c>
      <c r="C13">
        <v>1</v>
      </c>
      <c r="D13">
        <v>0.4</v>
      </c>
      <c r="E13">
        <v>0.2</v>
      </c>
    </row>
    <row r="15" spans="2:7" x14ac:dyDescent="0.2">
      <c r="B15" s="238" t="s">
        <v>474</v>
      </c>
      <c r="C15" s="239"/>
      <c r="D15" s="239"/>
      <c r="E15" s="239"/>
    </row>
    <row r="16" spans="2:7" x14ac:dyDescent="0.2">
      <c r="B16" t="s">
        <v>475</v>
      </c>
      <c r="C16">
        <v>0</v>
      </c>
      <c r="D16">
        <f>'Análisis Financiero'!D11</f>
        <v>0.16250000000000001</v>
      </c>
      <c r="E16">
        <f>'Análisis Financiero'!D11</f>
        <v>0.16250000000000001</v>
      </c>
    </row>
    <row r="17" spans="2:5" x14ac:dyDescent="0.2">
      <c r="B17" t="s">
        <v>476</v>
      </c>
      <c r="C17">
        <f>'Flujo de Caja'!C97</f>
        <v>0.30562489221313555</v>
      </c>
      <c r="D17">
        <f>'Flujo de Caja'!C97</f>
        <v>0.30562489221313555</v>
      </c>
      <c r="E17" t="s">
        <v>477</v>
      </c>
    </row>
    <row r="18" spans="2:5" x14ac:dyDescent="0.2">
      <c r="B18" t="s">
        <v>9</v>
      </c>
      <c r="C18">
        <f>'Flujo de Caja'!C97</f>
        <v>0.30562489221313555</v>
      </c>
      <c r="D18">
        <f>'Análisis Financiero'!D13</f>
        <v>0.2175</v>
      </c>
      <c r="E18" t="s">
        <v>478</v>
      </c>
    </row>
    <row r="20" spans="2:5" x14ac:dyDescent="0.2">
      <c r="B20" s="238" t="s">
        <v>479</v>
      </c>
      <c r="C20" s="239"/>
      <c r="D20" s="239"/>
      <c r="E20" s="239"/>
    </row>
    <row r="21" spans="2:5" x14ac:dyDescent="0.2">
      <c r="B21" t="s">
        <v>480</v>
      </c>
      <c r="C21" t="s">
        <v>481</v>
      </c>
      <c r="D21">
        <f>'Flujo de Caja'!C70</f>
        <v>57467798.455263436</v>
      </c>
      <c r="E21" t="s">
        <v>482</v>
      </c>
    </row>
    <row r="22" spans="2:5" x14ac:dyDescent="0.2">
      <c r="B22" t="s">
        <v>483</v>
      </c>
      <c r="C22">
        <f>'Flujo de Caja'!C71</f>
        <v>0.37906230521412798</v>
      </c>
      <c r="D22">
        <f>'Flujo de Caja'!C71</f>
        <v>0.37906230521412798</v>
      </c>
      <c r="E22">
        <f>'Flujo de Caja'!C71</f>
        <v>0.37906230521412798</v>
      </c>
    </row>
    <row r="23" spans="2:5" x14ac:dyDescent="0.2">
      <c r="B23" t="s">
        <v>484</v>
      </c>
      <c r="C23" t="s">
        <v>485</v>
      </c>
      <c r="D23">
        <f>'Flujo de Caja'!C72</f>
        <v>0.16156230521412798</v>
      </c>
      <c r="E23" t="s">
        <v>485</v>
      </c>
    </row>
    <row r="25" spans="2:5" x14ac:dyDescent="0.2">
      <c r="B25" s="238" t="s">
        <v>486</v>
      </c>
      <c r="C25" s="239"/>
      <c r="D25" s="239"/>
      <c r="E25" s="239"/>
    </row>
    <row r="26" spans="2:5" x14ac:dyDescent="0.2">
      <c r="B26" t="s">
        <v>487</v>
      </c>
      <c r="C26">
        <f>'Flujo de Caja'!C70</f>
        <v>57467798.455263436</v>
      </c>
      <c r="D26">
        <f>'Flujo de Caja'!C95</f>
        <v>44419969.402088001</v>
      </c>
      <c r="E26" t="s">
        <v>488</v>
      </c>
    </row>
    <row r="27" spans="2:5" x14ac:dyDescent="0.2">
      <c r="B27" t="s">
        <v>489</v>
      </c>
      <c r="C27">
        <f>'Flujo de Caja'!C71</f>
        <v>0.37906230521412798</v>
      </c>
      <c r="D27">
        <f>'Flujo de Caja'!C96</f>
        <v>0.60562489221313554</v>
      </c>
      <c r="E27" t="s">
        <v>488</v>
      </c>
    </row>
    <row r="28" spans="2:5" x14ac:dyDescent="0.2">
      <c r="B28" t="s">
        <v>490</v>
      </c>
      <c r="C28" t="s">
        <v>485</v>
      </c>
      <c r="D28">
        <f>'Flujo de Caja'!C97</f>
        <v>0.30562489221313555</v>
      </c>
      <c r="E28" t="s">
        <v>485</v>
      </c>
    </row>
    <row r="31" spans="2:5" x14ac:dyDescent="0.2">
      <c r="B31" s="238" t="s">
        <v>491</v>
      </c>
      <c r="C31" s="239"/>
      <c r="D31" s="239"/>
      <c r="E31" s="239"/>
    </row>
    <row r="32" spans="2:5" x14ac:dyDescent="0.2">
      <c r="B32" t="s">
        <v>492</v>
      </c>
      <c r="C32" t="s">
        <v>493</v>
      </c>
      <c r="D32" t="s">
        <v>494</v>
      </c>
      <c r="E32" t="s">
        <v>495</v>
      </c>
    </row>
    <row r="33" spans="2:5" x14ac:dyDescent="0.2">
      <c r="B33" t="s">
        <v>496</v>
      </c>
      <c r="C33" t="s">
        <v>497</v>
      </c>
      <c r="D33" t="s">
        <v>498</v>
      </c>
      <c r="E33" t="s">
        <v>499</v>
      </c>
    </row>
    <row r="34" spans="2:5" x14ac:dyDescent="0.2">
      <c r="B34" t="s">
        <v>500</v>
      </c>
      <c r="C34" t="s">
        <v>501</v>
      </c>
      <c r="D34" t="s">
        <v>502</v>
      </c>
      <c r="E34" t="s">
        <v>503</v>
      </c>
    </row>
    <row r="35" spans="2:5" x14ac:dyDescent="0.2">
      <c r="B35" t="s">
        <v>504</v>
      </c>
      <c r="C35" t="s">
        <v>505</v>
      </c>
      <c r="D35" t="s">
        <v>506</v>
      </c>
      <c r="E35" t="s">
        <v>495</v>
      </c>
    </row>
    <row r="36" spans="2:5" x14ac:dyDescent="0.2">
      <c r="B36" t="s">
        <v>507</v>
      </c>
      <c r="C36" t="s">
        <v>503</v>
      </c>
      <c r="D36" t="s">
        <v>502</v>
      </c>
      <c r="E36" t="s">
        <v>508</v>
      </c>
    </row>
    <row r="37" spans="2:5" x14ac:dyDescent="0.2">
      <c r="B37" t="s">
        <v>509</v>
      </c>
      <c r="C37" t="s">
        <v>495</v>
      </c>
      <c r="D37" t="s">
        <v>506</v>
      </c>
      <c r="E37" t="s">
        <v>510</v>
      </c>
    </row>
    <row r="40" spans="2:5" x14ac:dyDescent="0.2">
      <c r="B40" s="267" t="s">
        <v>511</v>
      </c>
      <c r="C40" s="239"/>
      <c r="D40" s="239"/>
      <c r="E40" s="239"/>
    </row>
    <row r="41" spans="2:5" x14ac:dyDescent="0.2">
      <c r="B41" s="239" t="s">
        <v>512</v>
      </c>
      <c r="C41" s="239"/>
      <c r="D41" s="239"/>
      <c r="E41" s="239"/>
    </row>
    <row r="42" spans="2:5" x14ac:dyDescent="0.2">
      <c r="B42" s="239" t="s">
        <v>513</v>
      </c>
      <c r="C42" s="239"/>
      <c r="D42" s="239"/>
      <c r="E42" s="239"/>
    </row>
    <row r="43" spans="2:5" x14ac:dyDescent="0.2">
      <c r="B43" s="239" t="s">
        <v>514</v>
      </c>
      <c r="C43" s="239"/>
      <c r="D43" s="239"/>
      <c r="E43" s="239"/>
    </row>
    <row r="44" spans="2:5" x14ac:dyDescent="0.2">
      <c r="B44" s="239" t="s">
        <v>515</v>
      </c>
      <c r="C44" s="239"/>
      <c r="D44" s="239"/>
      <c r="E44" s="239"/>
    </row>
  </sheetData>
  <mergeCells count="12">
    <mergeCell ref="B3:G3"/>
    <mergeCell ref="B2:G2"/>
    <mergeCell ref="B40:E40"/>
    <mergeCell ref="B41:E41"/>
    <mergeCell ref="B31:E31"/>
    <mergeCell ref="B8:E8"/>
    <mergeCell ref="B43:E43"/>
    <mergeCell ref="B44:E44"/>
    <mergeCell ref="B15:E15"/>
    <mergeCell ref="B25:E25"/>
    <mergeCell ref="B20:E20"/>
    <mergeCell ref="B42:E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Análisis Financiero</vt:lpstr>
      <vt:lpstr>Flujo de Caja</vt:lpstr>
      <vt:lpstr>Datos Bancolombia</vt:lpstr>
      <vt:lpstr>RBC y BAUE</vt:lpstr>
      <vt:lpstr>Indicadores Macro</vt:lpstr>
      <vt:lpstr>Demanda</vt:lpstr>
      <vt:lpstr>Oferta</vt:lpstr>
      <vt:lpstr>Equilibrio</vt:lpstr>
      <vt:lpstr>Brecha O-D</vt:lpstr>
      <vt:lpstr>Tamaño</vt:lpstr>
      <vt:lpstr>Costos</vt:lpstr>
      <vt:lpstr>Gastos</vt:lpstr>
      <vt:lpstr>Precio Proy</vt:lpstr>
      <vt:lpstr>Nómina</vt:lpstr>
      <vt:lpstr>Escenarios Financiam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Arango</dc:creator>
  <cp:lastModifiedBy>Juan Manuel Young Hoyos</cp:lastModifiedBy>
  <dcterms:created xsi:type="dcterms:W3CDTF">2023-08-24T02:44:14Z</dcterms:created>
  <dcterms:modified xsi:type="dcterms:W3CDTF">2025-10-30T05:02:46Z</dcterms:modified>
</cp:coreProperties>
</file>